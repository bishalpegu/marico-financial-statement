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shalpegu/Downloads/"/>
    </mc:Choice>
  </mc:AlternateContent>
  <xr:revisionPtr revIDLastSave="0" documentId="8_{209BCA68-4C77-074D-9903-212EC78DA309}" xr6:coauthVersionLast="47" xr6:coauthVersionMax="47" xr10:uidLastSave="{00000000-0000-0000-0000-000000000000}"/>
  <bookViews>
    <workbookView xWindow="0" yWindow="660" windowWidth="29400" windowHeight="18460" activeTab="4" xr2:uid="{963DFE49-ECC9-A74C-9F6F-132ECB2430D5}"/>
  </bookViews>
  <sheets>
    <sheet name="Cover" sheetId="2" r:id="rId1"/>
    <sheet name="Assumptions" sheetId="3" r:id="rId2"/>
    <sheet name="Historicals" sheetId="4" r:id="rId3"/>
    <sheet name="Model" sheetId="5" r:id="rId4"/>
    <sheet name="WACC" sheetId="6" r:id="rId5"/>
    <sheet name="DCF" sheetId="7" r:id="rId6"/>
    <sheet name="Checks" sheetId="8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1" i="2" l="1"/>
  <c r="C7" i="2"/>
  <c r="M22" i="8" a="1"/>
  <c r="C22" i="8"/>
  <c r="M16" i="8" a="1"/>
  <c r="G16" i="8"/>
  <c r="F16" i="8"/>
  <c r="E16" i="8"/>
  <c r="D16" i="8"/>
  <c r="C16" i="8"/>
  <c r="M15" i="8" a="1"/>
  <c r="G15" i="8"/>
  <c r="F15" i="8"/>
  <c r="E15" i="8"/>
  <c r="D15" i="8"/>
  <c r="G12" i="8"/>
  <c r="F12" i="8"/>
  <c r="E12" i="8"/>
  <c r="D12" i="8"/>
  <c r="G11" i="8"/>
  <c r="F11" i="8"/>
  <c r="E11" i="8"/>
  <c r="D11" i="8"/>
  <c r="M10" i="8" a="1"/>
  <c r="G10" i="8"/>
  <c r="F10" i="8"/>
  <c r="M9" i="8" a="1"/>
  <c r="G9" i="8"/>
  <c r="F9" i="8"/>
  <c r="E9" i="8"/>
  <c r="D9" i="8"/>
  <c r="M8" i="8" a="1"/>
  <c r="G8" i="8"/>
  <c r="F8" i="8"/>
  <c r="E8" i="8"/>
  <c r="D8" i="8"/>
  <c r="M7" i="8" a="1"/>
  <c r="G7" i="8"/>
  <c r="F7" i="8"/>
  <c r="E7" i="8"/>
  <c r="D7" i="8"/>
  <c r="M6" i="8" a="1"/>
  <c r="G6" i="8"/>
  <c r="F6" i="8"/>
  <c r="E6" i="8"/>
  <c r="D6" i="8"/>
  <c r="G10" i="3"/>
  <c r="G9" i="3"/>
  <c r="G8" i="3"/>
  <c r="G7" i="3"/>
  <c r="G28" i="3"/>
  <c r="F28" i="3"/>
  <c r="E28" i="3"/>
  <c r="D28" i="3"/>
  <c r="G27" i="3"/>
  <c r="F27" i="3"/>
  <c r="E27" i="3"/>
  <c r="G26" i="3"/>
  <c r="F26" i="3"/>
  <c r="E26" i="3"/>
  <c r="G25" i="3"/>
  <c r="F25" i="3"/>
  <c r="E25" i="3"/>
  <c r="D25" i="3"/>
  <c r="G24" i="3"/>
  <c r="F24" i="3"/>
  <c r="E24" i="3"/>
  <c r="D24" i="3"/>
  <c r="G23" i="3"/>
  <c r="F23" i="3"/>
  <c r="E23" i="3"/>
  <c r="D23" i="3"/>
  <c r="G22" i="3"/>
  <c r="F22" i="3"/>
  <c r="E22" i="3"/>
  <c r="D22" i="3"/>
  <c r="G21" i="3"/>
  <c r="F21" i="3"/>
  <c r="E21" i="3"/>
  <c r="D21" i="3"/>
  <c r="G20" i="3"/>
  <c r="F20" i="3"/>
  <c r="E20" i="3"/>
  <c r="D20" i="3"/>
  <c r="G19" i="3"/>
  <c r="F19" i="3"/>
  <c r="E19" i="3"/>
  <c r="D19" i="3"/>
  <c r="G18" i="3"/>
  <c r="F18" i="3"/>
  <c r="E18" i="3"/>
  <c r="D18" i="3"/>
  <c r="G17" i="3"/>
  <c r="F17" i="3"/>
  <c r="E17" i="3"/>
  <c r="D17" i="3"/>
  <c r="G16" i="3"/>
  <c r="F16" i="3"/>
  <c r="E16" i="3"/>
  <c r="D16" i="3"/>
  <c r="G15" i="3"/>
  <c r="F15" i="3"/>
  <c r="E15" i="3"/>
  <c r="D15" i="3"/>
  <c r="G14" i="3"/>
  <c r="F14" i="3"/>
  <c r="E14" i="3"/>
  <c r="D14" i="3"/>
  <c r="G13" i="3"/>
  <c r="F13" i="3"/>
  <c r="E13" i="3"/>
  <c r="D13" i="3"/>
  <c r="G12" i="3"/>
  <c r="F12" i="3"/>
  <c r="E12" i="3"/>
  <c r="D12" i="3"/>
  <c r="G11" i="3"/>
  <c r="F11" i="3"/>
  <c r="E11" i="3"/>
  <c r="D11" i="3"/>
  <c r="B75" i="7"/>
  <c r="B67" i="7"/>
  <c r="B74" i="7"/>
  <c r="B66" i="7"/>
  <c r="B73" i="7"/>
  <c r="B65" i="7"/>
  <c r="B72" i="7"/>
  <c r="B64" i="7"/>
  <c r="B71" i="7"/>
  <c r="B63" i="7"/>
  <c r="C55" i="7"/>
  <c r="C53" i="7"/>
  <c r="C51" i="7"/>
  <c r="C50" i="7"/>
  <c r="C49" i="7"/>
  <c r="C48" i="7"/>
  <c r="C47" i="7"/>
  <c r="C46" i="7"/>
  <c r="C36" i="7"/>
  <c r="G29" i="7"/>
  <c r="G28" i="7"/>
  <c r="G27" i="7"/>
  <c r="G14" i="7"/>
  <c r="F29" i="7"/>
  <c r="F28" i="7"/>
  <c r="F27" i="7"/>
  <c r="F14" i="7"/>
  <c r="E29" i="7"/>
  <c r="E28" i="7"/>
  <c r="E27" i="7"/>
  <c r="E14" i="7"/>
  <c r="D29" i="7"/>
  <c r="D28" i="7"/>
  <c r="D27" i="7"/>
  <c r="D14" i="7"/>
  <c r="C29" i="7"/>
  <c r="C28" i="7"/>
  <c r="C27" i="7"/>
  <c r="C14" i="7"/>
  <c r="C10" i="7"/>
  <c r="C9" i="7"/>
  <c r="C7" i="7"/>
  <c r="C5" i="7"/>
  <c r="C27" i="6"/>
  <c r="C25" i="6"/>
  <c r="C24" i="6"/>
  <c r="C23" i="6"/>
  <c r="C22" i="6"/>
  <c r="C21" i="6"/>
  <c r="C20" i="6"/>
  <c r="C14" i="6"/>
  <c r="C9" i="6"/>
  <c r="C7" i="6"/>
  <c r="G81" i="5"/>
  <c r="F81" i="5"/>
  <c r="E81" i="5"/>
  <c r="D81" i="5"/>
  <c r="L79" i="5"/>
  <c r="K79" i="5"/>
  <c r="J79" i="5"/>
  <c r="I79" i="5"/>
  <c r="H79" i="5"/>
  <c r="G79" i="5"/>
  <c r="F79" i="5"/>
  <c r="E79" i="5"/>
  <c r="D79" i="5"/>
  <c r="L77" i="5"/>
  <c r="K77" i="5"/>
  <c r="J77" i="5"/>
  <c r="I77" i="5"/>
  <c r="H77" i="5"/>
  <c r="G77" i="5"/>
  <c r="F77" i="5"/>
  <c r="E77" i="5"/>
  <c r="D77" i="5"/>
  <c r="G76" i="5"/>
  <c r="G78" i="5" s="1"/>
  <c r="F76" i="5"/>
  <c r="F78" i="5" s="1"/>
  <c r="E76" i="5"/>
  <c r="E78" i="5" s="1"/>
  <c r="D76" i="5"/>
  <c r="D78" i="5" s="1"/>
  <c r="G75" i="5"/>
  <c r="F75" i="5"/>
  <c r="E75" i="5"/>
  <c r="D75" i="5"/>
  <c r="G74" i="5"/>
  <c r="F74" i="5"/>
  <c r="E74" i="5"/>
  <c r="D74" i="5"/>
  <c r="L72" i="5"/>
  <c r="K72" i="5"/>
  <c r="J72" i="5"/>
  <c r="I72" i="5"/>
  <c r="H72" i="5"/>
  <c r="G72" i="5"/>
  <c r="F72" i="5"/>
  <c r="E72" i="5"/>
  <c r="D72" i="5"/>
  <c r="G71" i="5"/>
  <c r="F71" i="5"/>
  <c r="E71" i="5"/>
  <c r="D71" i="5"/>
  <c r="G70" i="5"/>
  <c r="F70" i="5"/>
  <c r="E70" i="5"/>
  <c r="D70" i="5"/>
  <c r="G57" i="5"/>
  <c r="F57" i="5"/>
  <c r="E57" i="5"/>
  <c r="D57" i="5"/>
  <c r="G56" i="5"/>
  <c r="F56" i="5"/>
  <c r="F58" i="5" s="1"/>
  <c r="E56" i="5"/>
  <c r="E58" i="5" s="1"/>
  <c r="D56" i="5"/>
  <c r="D58" i="5" s="1"/>
  <c r="G54" i="5"/>
  <c r="H54" i="5" s="1"/>
  <c r="I54" i="5" s="1"/>
  <c r="J54" i="5" s="1"/>
  <c r="K54" i="5" s="1"/>
  <c r="L54" i="5" s="1"/>
  <c r="F54" i="5"/>
  <c r="E54" i="5"/>
  <c r="D54" i="5"/>
  <c r="G53" i="5"/>
  <c r="H53" i="5" s="1"/>
  <c r="I53" i="5" s="1"/>
  <c r="J53" i="5" s="1"/>
  <c r="K53" i="5" s="1"/>
  <c r="L53" i="5" s="1"/>
  <c r="F53" i="5"/>
  <c r="E53" i="5"/>
  <c r="D53" i="5"/>
  <c r="G52" i="5"/>
  <c r="H52" i="5" s="1"/>
  <c r="I52" i="5" s="1"/>
  <c r="J52" i="5" s="1"/>
  <c r="K52" i="5" s="1"/>
  <c r="L52" i="5" s="1"/>
  <c r="F52" i="5"/>
  <c r="E52" i="5"/>
  <c r="D52" i="5"/>
  <c r="G51" i="5"/>
  <c r="F51" i="5"/>
  <c r="E51" i="5"/>
  <c r="D51" i="5"/>
  <c r="G50" i="5"/>
  <c r="F50" i="5"/>
  <c r="E50" i="5"/>
  <c r="D50" i="5"/>
  <c r="G49" i="5"/>
  <c r="F49" i="5"/>
  <c r="E49" i="5"/>
  <c r="D49" i="5"/>
  <c r="G47" i="5"/>
  <c r="H47" i="5" s="1"/>
  <c r="I47" i="5" s="1"/>
  <c r="J47" i="5" s="1"/>
  <c r="K47" i="5" s="1"/>
  <c r="L47" i="5" s="1"/>
  <c r="F47" i="5"/>
  <c r="E47" i="5"/>
  <c r="D47" i="5"/>
  <c r="G46" i="5"/>
  <c r="H46" i="5" s="1"/>
  <c r="I46" i="5" s="1"/>
  <c r="J46" i="5" s="1"/>
  <c r="K46" i="5" s="1"/>
  <c r="L46" i="5" s="1"/>
  <c r="F46" i="5"/>
  <c r="E46" i="5"/>
  <c r="D46" i="5"/>
  <c r="G45" i="5"/>
  <c r="F45" i="5"/>
  <c r="E45" i="5"/>
  <c r="D45" i="5"/>
  <c r="G44" i="5"/>
  <c r="F44" i="5"/>
  <c r="E44" i="5"/>
  <c r="D44" i="5"/>
  <c r="G43" i="5"/>
  <c r="F43" i="5"/>
  <c r="F87" i="5" s="1"/>
  <c r="E43" i="5"/>
  <c r="E87" i="5" s="1"/>
  <c r="D43" i="5"/>
  <c r="D87" i="5" s="1"/>
  <c r="G42" i="5"/>
  <c r="F42" i="5"/>
  <c r="E42" i="5"/>
  <c r="D42" i="5"/>
  <c r="G41" i="5"/>
  <c r="H41" i="5" s="1"/>
  <c r="I41" i="5" s="1"/>
  <c r="J41" i="5" s="1"/>
  <c r="K41" i="5" s="1"/>
  <c r="L41" i="5" s="1"/>
  <c r="F41" i="5"/>
  <c r="E41" i="5"/>
  <c r="D41" i="5"/>
  <c r="G40" i="5"/>
  <c r="F40" i="5"/>
  <c r="E40" i="5"/>
  <c r="D40" i="5"/>
  <c r="G37" i="5"/>
  <c r="F37" i="5"/>
  <c r="E37" i="5"/>
  <c r="D37" i="5"/>
  <c r="G34" i="5"/>
  <c r="F34" i="5"/>
  <c r="E34" i="5"/>
  <c r="D34" i="5"/>
  <c r="G31" i="5"/>
  <c r="F31" i="5"/>
  <c r="E31" i="5"/>
  <c r="D31" i="5"/>
  <c r="G29" i="5"/>
  <c r="G101" i="5" s="1"/>
  <c r="F29" i="5"/>
  <c r="F101" i="5" s="1"/>
  <c r="E29" i="5"/>
  <c r="E101" i="5" s="1"/>
  <c r="D29" i="5"/>
  <c r="G28" i="5"/>
  <c r="F28" i="5"/>
  <c r="E28" i="5"/>
  <c r="D28" i="5"/>
  <c r="G25" i="5"/>
  <c r="F25" i="5"/>
  <c r="E25" i="5"/>
  <c r="D25" i="5"/>
  <c r="C23" i="5"/>
  <c r="G22" i="5"/>
  <c r="F22" i="5"/>
  <c r="E22" i="5"/>
  <c r="D22" i="5"/>
  <c r="G21" i="5"/>
  <c r="F21" i="5"/>
  <c r="E21" i="5"/>
  <c r="D21" i="5"/>
  <c r="G20" i="5"/>
  <c r="F20" i="5"/>
  <c r="E20" i="5"/>
  <c r="D20" i="5"/>
  <c r="G17" i="5"/>
  <c r="F17" i="5"/>
  <c r="E17" i="5"/>
  <c r="D17" i="5"/>
  <c r="G12" i="5"/>
  <c r="F12" i="5"/>
  <c r="E12" i="5"/>
  <c r="D12" i="5"/>
  <c r="C12" i="5"/>
  <c r="C16" i="5" s="1"/>
  <c r="G10" i="5"/>
  <c r="F10" i="5"/>
  <c r="G8" i="5"/>
  <c r="F8" i="5"/>
  <c r="H29" i="3"/>
  <c r="C8" i="7" s="1"/>
  <c r="L28" i="3"/>
  <c r="L74" i="5" s="1"/>
  <c r="K28" i="3"/>
  <c r="K74" i="5" s="1"/>
  <c r="J28" i="3"/>
  <c r="J74" i="5" s="1"/>
  <c r="I28" i="3"/>
  <c r="I74" i="5" s="1"/>
  <c r="H28" i="3"/>
  <c r="H74" i="5" s="1"/>
  <c r="L27" i="3"/>
  <c r="K27" i="3"/>
  <c r="J27" i="3"/>
  <c r="I27" i="3"/>
  <c r="H27" i="3"/>
  <c r="H29" i="5" s="1"/>
  <c r="H101" i="5" s="1"/>
  <c r="L26" i="3"/>
  <c r="K26" i="3"/>
  <c r="J26" i="3"/>
  <c r="I26" i="3"/>
  <c r="H26" i="3"/>
  <c r="H28" i="5" s="1"/>
  <c r="H100" i="5" s="1"/>
  <c r="L25" i="3"/>
  <c r="K25" i="3"/>
  <c r="J25" i="3"/>
  <c r="I25" i="3"/>
  <c r="H25" i="3"/>
  <c r="L24" i="3"/>
  <c r="K24" i="3"/>
  <c r="J24" i="3"/>
  <c r="I24" i="3"/>
  <c r="H24" i="3"/>
  <c r="L23" i="3"/>
  <c r="K23" i="3"/>
  <c r="J23" i="3"/>
  <c r="I23" i="3"/>
  <c r="H23" i="3"/>
  <c r="L22" i="3"/>
  <c r="K22" i="3"/>
  <c r="J22" i="3"/>
  <c r="I22" i="3"/>
  <c r="H22" i="3"/>
  <c r="L21" i="3"/>
  <c r="K21" i="3"/>
  <c r="J21" i="3"/>
  <c r="I21" i="3"/>
  <c r="H21" i="3"/>
  <c r="L20" i="3"/>
  <c r="K20" i="3"/>
  <c r="J20" i="3"/>
  <c r="I20" i="3"/>
  <c r="H20" i="3"/>
  <c r="L19" i="3"/>
  <c r="K19" i="3"/>
  <c r="J19" i="3"/>
  <c r="I19" i="3"/>
  <c r="H19" i="3"/>
  <c r="L18" i="3"/>
  <c r="K18" i="3"/>
  <c r="J18" i="3"/>
  <c r="I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I12" i="3"/>
  <c r="H12" i="3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8" i="3"/>
  <c r="K8" i="3"/>
  <c r="J8" i="3"/>
  <c r="I8" i="3"/>
  <c r="H8" i="3"/>
  <c r="L7" i="3"/>
  <c r="K7" i="3"/>
  <c r="J7" i="3"/>
  <c r="I7" i="3"/>
  <c r="H7" i="3"/>
  <c r="D3" i="3"/>
  <c r="G123" i="4"/>
  <c r="G124" i="4" s="1"/>
  <c r="F123" i="4"/>
  <c r="F124" i="4" s="1"/>
  <c r="G112" i="4"/>
  <c r="F112" i="4"/>
  <c r="E112" i="4"/>
  <c r="D112" i="4"/>
  <c r="G102" i="4"/>
  <c r="F102" i="4"/>
  <c r="E102" i="4"/>
  <c r="D102" i="4"/>
  <c r="G91" i="4"/>
  <c r="G93" i="4" s="1"/>
  <c r="G95" i="4" s="1"/>
  <c r="F91" i="4"/>
  <c r="F93" i="4" s="1"/>
  <c r="F95" i="4" s="1"/>
  <c r="E91" i="4"/>
  <c r="E93" i="4" s="1"/>
  <c r="E95" i="4" s="1"/>
  <c r="D91" i="4"/>
  <c r="D93" i="4" s="1"/>
  <c r="D95" i="4" s="1"/>
  <c r="G80" i="4"/>
  <c r="F80" i="4"/>
  <c r="E80" i="4"/>
  <c r="D80" i="4"/>
  <c r="G75" i="4"/>
  <c r="F75" i="4"/>
  <c r="E75" i="4"/>
  <c r="D75" i="4"/>
  <c r="G66" i="4"/>
  <c r="G76" i="4" s="1"/>
  <c r="F66" i="4"/>
  <c r="F76" i="4" s="1"/>
  <c r="E66" i="4"/>
  <c r="E76" i="4" s="1"/>
  <c r="D66" i="4"/>
  <c r="D76" i="4" s="1"/>
  <c r="G57" i="4"/>
  <c r="G59" i="4" s="1"/>
  <c r="G77" i="4" s="1"/>
  <c r="F57" i="4"/>
  <c r="F59" i="4" s="1"/>
  <c r="F77" i="4" s="1"/>
  <c r="E57" i="4"/>
  <c r="E59" i="4" s="1"/>
  <c r="E77" i="4" s="1"/>
  <c r="D57" i="4"/>
  <c r="D59" i="4" s="1"/>
  <c r="G51" i="4"/>
  <c r="F51" i="4"/>
  <c r="E51" i="4"/>
  <c r="D51" i="4"/>
  <c r="G41" i="4"/>
  <c r="G52" i="4" s="1"/>
  <c r="F41" i="4"/>
  <c r="F52" i="4" s="1"/>
  <c r="E41" i="4"/>
  <c r="E52" i="4" s="1"/>
  <c r="D41" i="4"/>
  <c r="D52" i="4" s="1"/>
  <c r="G25" i="4"/>
  <c r="F25" i="4"/>
  <c r="E25" i="4"/>
  <c r="D25" i="4"/>
  <c r="G21" i="4"/>
  <c r="F21" i="4"/>
  <c r="E21" i="4"/>
  <c r="D21" i="4"/>
  <c r="G17" i="4"/>
  <c r="F17" i="4"/>
  <c r="E17" i="4"/>
  <c r="D17" i="4"/>
  <c r="G8" i="4"/>
  <c r="G18" i="4" s="1"/>
  <c r="G22" i="4" s="1"/>
  <c r="G24" i="4" s="1"/>
  <c r="F8" i="4"/>
  <c r="F18" i="4" s="1"/>
  <c r="F22" i="4" s="1"/>
  <c r="F24" i="4" s="1"/>
  <c r="E8" i="4"/>
  <c r="E18" i="4" s="1"/>
  <c r="E22" i="4" s="1"/>
  <c r="E24" i="4" s="1"/>
  <c r="D8" i="4"/>
  <c r="D18" i="4" s="1"/>
  <c r="D22" i="4" s="1"/>
  <c r="D24" i="4" s="1"/>
  <c r="H51" i="5" l="1"/>
  <c r="G62" i="7"/>
  <c r="C34" i="7"/>
  <c r="C62" i="7"/>
  <c r="D62" i="7"/>
  <c r="E62" i="7"/>
  <c r="F62" i="7"/>
  <c r="C12" i="2"/>
  <c r="C20" i="8"/>
  <c r="M20" i="8" s="1" a="1"/>
  <c r="C21" i="8"/>
  <c r="M21" i="8" s="1" a="1"/>
  <c r="C5" i="2"/>
  <c r="C6" i="7"/>
  <c r="G73" i="5"/>
  <c r="G80" i="5" s="1"/>
  <c r="G82" i="5" s="1"/>
  <c r="F73" i="5"/>
  <c r="F80" i="5" s="1"/>
  <c r="F82" i="5" s="1"/>
  <c r="F83" i="5" s="1"/>
  <c r="E73" i="5"/>
  <c r="E80" i="5" s="1"/>
  <c r="E82" i="5" s="1"/>
  <c r="E83" i="5" s="1"/>
  <c r="D73" i="5"/>
  <c r="D80" i="5" s="1"/>
  <c r="D82" i="5" s="1"/>
  <c r="D83" i="5" s="1"/>
  <c r="G58" i="5"/>
  <c r="G88" i="5"/>
  <c r="G55" i="5"/>
  <c r="G59" i="5" s="1"/>
  <c r="F88" i="5"/>
  <c r="F55" i="5"/>
  <c r="F59" i="5" s="1"/>
  <c r="E55" i="5"/>
  <c r="E59" i="5" s="1"/>
  <c r="E88" i="5"/>
  <c r="D88" i="5"/>
  <c r="D55" i="5"/>
  <c r="D59" i="5" s="1"/>
  <c r="G87" i="5"/>
  <c r="G104" i="5"/>
  <c r="F104" i="5"/>
  <c r="E104" i="5"/>
  <c r="D104" i="5"/>
  <c r="G103" i="5"/>
  <c r="G48" i="5"/>
  <c r="G60" i="5" s="1"/>
  <c r="G100" i="5"/>
  <c r="F103" i="5"/>
  <c r="F48" i="5"/>
  <c r="F60" i="5" s="1"/>
  <c r="E48" i="5"/>
  <c r="E60" i="5" s="1"/>
  <c r="E103" i="5"/>
  <c r="F100" i="5"/>
  <c r="D48" i="5"/>
  <c r="E100" i="5"/>
  <c r="D103" i="5"/>
  <c r="G99" i="5"/>
  <c r="F99" i="5"/>
  <c r="E99" i="5"/>
  <c r="D99" i="5"/>
  <c r="G16" i="5"/>
  <c r="G13" i="5"/>
  <c r="F16" i="5"/>
  <c r="F13" i="5"/>
  <c r="E16" i="5"/>
  <c r="E13" i="5"/>
  <c r="D16" i="5"/>
  <c r="D13" i="5"/>
  <c r="G11" i="5"/>
  <c r="H10" i="5"/>
  <c r="G9" i="5"/>
  <c r="H8" i="5"/>
  <c r="C24" i="5"/>
  <c r="G114" i="4"/>
  <c r="G116" i="4" s="1"/>
  <c r="G117" i="4" s="1"/>
  <c r="G118" i="4"/>
  <c r="F114" i="4"/>
  <c r="F116" i="4" s="1"/>
  <c r="F117" i="4" s="1"/>
  <c r="F118" i="4"/>
  <c r="E114" i="4"/>
  <c r="E116" i="4" s="1"/>
  <c r="E117" i="4" s="1"/>
  <c r="E118" i="4"/>
  <c r="D114" i="4"/>
  <c r="D116" i="4" s="1"/>
  <c r="D117" i="4" s="1"/>
  <c r="D118" i="4"/>
  <c r="D77" i="4"/>
  <c r="D78" i="4" s="1"/>
  <c r="G78" i="4"/>
  <c r="F78" i="4"/>
  <c r="E78" i="4"/>
  <c r="I29" i="5" l="1"/>
  <c r="I101" i="5" s="1"/>
  <c r="I51" i="5"/>
  <c r="J51" i="5"/>
  <c r="J29" i="5"/>
  <c r="J101" i="5" s="1"/>
  <c r="G94" i="5"/>
  <c r="G95" i="5"/>
  <c r="G96" i="5"/>
  <c r="G93" i="5"/>
  <c r="G90" i="5"/>
  <c r="G18" i="5"/>
  <c r="G92" i="5"/>
  <c r="F94" i="5"/>
  <c r="F95" i="5"/>
  <c r="F96" i="5"/>
  <c r="F93" i="5"/>
  <c r="F89" i="5"/>
  <c r="F90" i="5"/>
  <c r="F18" i="5"/>
  <c r="F92" i="5"/>
  <c r="E96" i="5"/>
  <c r="E93" i="5"/>
  <c r="E94" i="5"/>
  <c r="E89" i="5"/>
  <c r="E95" i="5"/>
  <c r="E90" i="5"/>
  <c r="E18" i="5"/>
  <c r="E92" i="5"/>
  <c r="D93" i="5"/>
  <c r="D94" i="5"/>
  <c r="D95" i="5"/>
  <c r="D89" i="5"/>
  <c r="D96" i="5"/>
  <c r="D90" i="5"/>
  <c r="D18" i="5"/>
  <c r="D92" i="5"/>
  <c r="I10" i="5"/>
  <c r="H11" i="5"/>
  <c r="I8" i="5"/>
  <c r="H9" i="5"/>
  <c r="H12" i="5"/>
  <c r="H81" i="5"/>
  <c r="G83" i="5"/>
  <c r="D60" i="5"/>
  <c r="G91" i="5"/>
  <c r="G89" i="5"/>
  <c r="G86" i="5"/>
  <c r="F86" i="5"/>
  <c r="F91" i="5"/>
  <c r="E86" i="5"/>
  <c r="E91" i="5"/>
  <c r="D86" i="5"/>
  <c r="D91" i="5"/>
  <c r="K29" i="5" l="1"/>
  <c r="K101" i="5" s="1"/>
  <c r="K51" i="5"/>
  <c r="G19" i="5"/>
  <c r="G23" i="5"/>
  <c r="F19" i="5"/>
  <c r="F23" i="5"/>
  <c r="E19" i="5"/>
  <c r="E23" i="5"/>
  <c r="D19" i="5"/>
  <c r="D23" i="5"/>
  <c r="J10" i="5"/>
  <c r="I11" i="5"/>
  <c r="J8" i="5"/>
  <c r="I9" i="5"/>
  <c r="I12" i="5"/>
  <c r="H13" i="5"/>
  <c r="H16" i="5"/>
  <c r="H17" i="8" l="1"/>
  <c r="C15" i="7"/>
  <c r="L51" i="5"/>
  <c r="L29" i="5"/>
  <c r="L101" i="5" s="1"/>
  <c r="G24" i="5"/>
  <c r="G26" i="5"/>
  <c r="F24" i="5"/>
  <c r="F26" i="5"/>
  <c r="E24" i="5"/>
  <c r="E26" i="5"/>
  <c r="D24" i="5"/>
  <c r="D26" i="5"/>
  <c r="K10" i="5"/>
  <c r="J11" i="5"/>
  <c r="K8" i="5"/>
  <c r="J9" i="5"/>
  <c r="J12" i="5"/>
  <c r="I13" i="5"/>
  <c r="I16" i="5"/>
  <c r="H17" i="5"/>
  <c r="H18" i="5" s="1"/>
  <c r="H20" i="5"/>
  <c r="H93" i="5" s="1"/>
  <c r="H21" i="5"/>
  <c r="H94" i="5" s="1"/>
  <c r="H22" i="5"/>
  <c r="H95" i="5" s="1"/>
  <c r="H25" i="5"/>
  <c r="H44" i="5"/>
  <c r="H71" i="5"/>
  <c r="C24" i="7" s="1"/>
  <c r="H50" i="5"/>
  <c r="H42" i="5"/>
  <c r="I17" i="8" l="1"/>
  <c r="D15" i="7"/>
  <c r="H45" i="5"/>
  <c r="C18" i="7"/>
  <c r="C23" i="7" s="1"/>
  <c r="G27" i="5"/>
  <c r="G30" i="5"/>
  <c r="F27" i="5"/>
  <c r="F30" i="5"/>
  <c r="E27" i="5"/>
  <c r="E30" i="5"/>
  <c r="D27" i="5"/>
  <c r="D30" i="5"/>
  <c r="L10" i="5"/>
  <c r="L11" i="5" s="1"/>
  <c r="K11" i="5"/>
  <c r="L8" i="5"/>
  <c r="K9" i="5"/>
  <c r="K12" i="5"/>
  <c r="J13" i="5"/>
  <c r="J16" i="5"/>
  <c r="I17" i="5"/>
  <c r="I18" i="5"/>
  <c r="I20" i="5"/>
  <c r="I93" i="5" s="1"/>
  <c r="I21" i="5"/>
  <c r="I94" i="5" s="1"/>
  <c r="I22" i="5"/>
  <c r="I95" i="5" s="1"/>
  <c r="I25" i="5"/>
  <c r="D18" i="7" s="1"/>
  <c r="D23" i="7" s="1"/>
  <c r="I71" i="5"/>
  <c r="D24" i="7" s="1"/>
  <c r="I50" i="5"/>
  <c r="I42" i="5"/>
  <c r="I65" i="5" s="1"/>
  <c r="I44" i="5"/>
  <c r="I67" i="5" s="1"/>
  <c r="H43" i="5"/>
  <c r="H96" i="5"/>
  <c r="H49" i="5"/>
  <c r="H104" i="5" s="1"/>
  <c r="H19" i="5"/>
  <c r="H23" i="5"/>
  <c r="C16" i="7" s="1"/>
  <c r="H92" i="5"/>
  <c r="H64" i="5"/>
  <c r="H67" i="5"/>
  <c r="H89" i="5"/>
  <c r="H73" i="5"/>
  <c r="H91" i="5"/>
  <c r="H69" i="5"/>
  <c r="H90" i="5"/>
  <c r="H65" i="5"/>
  <c r="H86" i="5"/>
  <c r="J17" i="8" l="1"/>
  <c r="E15" i="7"/>
  <c r="C17" i="7"/>
  <c r="C59" i="7"/>
  <c r="C15" i="2" s="1"/>
  <c r="G32" i="5"/>
  <c r="G33" i="5"/>
  <c r="F32" i="5"/>
  <c r="F33" i="5"/>
  <c r="E32" i="5"/>
  <c r="E33" i="5"/>
  <c r="D32" i="5"/>
  <c r="D33" i="5"/>
  <c r="L9" i="5"/>
  <c r="L12" i="5"/>
  <c r="K13" i="5"/>
  <c r="K16" i="5"/>
  <c r="J17" i="5"/>
  <c r="J18" i="5"/>
  <c r="J20" i="5"/>
  <c r="J93" i="5" s="1"/>
  <c r="J21" i="5"/>
  <c r="J94" i="5" s="1"/>
  <c r="J22" i="5"/>
  <c r="J95" i="5" s="1"/>
  <c r="J25" i="5"/>
  <c r="E18" i="7" s="1"/>
  <c r="E23" i="7" s="1"/>
  <c r="J71" i="5"/>
  <c r="E24" i="7" s="1"/>
  <c r="J42" i="5"/>
  <c r="J65" i="5" s="1"/>
  <c r="J44" i="5"/>
  <c r="J67" i="5" s="1"/>
  <c r="J50" i="5"/>
  <c r="I49" i="5"/>
  <c r="I96" i="5"/>
  <c r="I43" i="5"/>
  <c r="I19" i="5"/>
  <c r="I23" i="5"/>
  <c r="D16" i="7" s="1"/>
  <c r="D17" i="7" s="1"/>
  <c r="I45" i="5"/>
  <c r="I64" i="5"/>
  <c r="I92" i="5"/>
  <c r="I73" i="5"/>
  <c r="I91" i="5"/>
  <c r="I90" i="5"/>
  <c r="I69" i="5"/>
  <c r="I86" i="5"/>
  <c r="I89" i="5"/>
  <c r="H66" i="5"/>
  <c r="C25" i="7" s="1"/>
  <c r="H87" i="5"/>
  <c r="H68" i="5"/>
  <c r="H55" i="5"/>
  <c r="H88" i="5"/>
  <c r="H24" i="5"/>
  <c r="H26" i="5"/>
  <c r="C19" i="7" s="1"/>
  <c r="K17" i="8" l="1"/>
  <c r="F15" i="7"/>
  <c r="I104" i="5"/>
  <c r="I66" i="5"/>
  <c r="G97" i="5"/>
  <c r="G35" i="5"/>
  <c r="F97" i="5"/>
  <c r="F35" i="5"/>
  <c r="E97" i="5"/>
  <c r="E35" i="5"/>
  <c r="D97" i="5"/>
  <c r="D35" i="5"/>
  <c r="L13" i="5"/>
  <c r="L16" i="5"/>
  <c r="K17" i="5"/>
  <c r="K18" i="5" s="1"/>
  <c r="K20" i="5"/>
  <c r="K93" i="5" s="1"/>
  <c r="K21" i="5"/>
  <c r="K94" i="5" s="1"/>
  <c r="K22" i="5"/>
  <c r="K95" i="5" s="1"/>
  <c r="K25" i="5"/>
  <c r="F18" i="7" s="1"/>
  <c r="F23" i="7" s="1"/>
  <c r="K71" i="5"/>
  <c r="F24" i="7" s="1"/>
  <c r="K44" i="5"/>
  <c r="K67" i="5" s="1"/>
  <c r="K50" i="5"/>
  <c r="K42" i="5"/>
  <c r="K65" i="5" s="1"/>
  <c r="J43" i="5"/>
  <c r="J96" i="5"/>
  <c r="J49" i="5"/>
  <c r="J19" i="5"/>
  <c r="J23" i="5"/>
  <c r="E16" i="7" s="1"/>
  <c r="E17" i="7" s="1"/>
  <c r="J92" i="5"/>
  <c r="J64" i="5"/>
  <c r="J73" i="5"/>
  <c r="J91" i="5"/>
  <c r="J86" i="5"/>
  <c r="J89" i="5"/>
  <c r="J69" i="5"/>
  <c r="J90" i="5"/>
  <c r="I88" i="5"/>
  <c r="I55" i="5"/>
  <c r="I68" i="5"/>
  <c r="I87" i="5"/>
  <c r="I24" i="5"/>
  <c r="I26" i="5"/>
  <c r="D19" i="7" s="1"/>
  <c r="H27" i="5"/>
  <c r="H30" i="5"/>
  <c r="J45" i="5"/>
  <c r="D25" i="7" l="1"/>
  <c r="L17" i="8"/>
  <c r="M17" i="8" s="1" a="1"/>
  <c r="G15" i="7"/>
  <c r="G98" i="5"/>
  <c r="G102" i="5"/>
  <c r="G36" i="5"/>
  <c r="F98" i="5"/>
  <c r="F102" i="5"/>
  <c r="F36" i="5"/>
  <c r="E98" i="5"/>
  <c r="E36" i="5"/>
  <c r="E102" i="5"/>
  <c r="D98" i="5"/>
  <c r="D36" i="5"/>
  <c r="L17" i="5"/>
  <c r="L18" i="5"/>
  <c r="L20" i="5"/>
  <c r="L93" i="5" s="1"/>
  <c r="L21" i="5"/>
  <c r="L94" i="5" s="1"/>
  <c r="L22" i="5"/>
  <c r="L95" i="5" s="1"/>
  <c r="L25" i="5"/>
  <c r="G18" i="7" s="1"/>
  <c r="G23" i="7" s="1"/>
  <c r="L42" i="5"/>
  <c r="L71" i="5"/>
  <c r="G24" i="7" s="1"/>
  <c r="L44" i="5"/>
  <c r="L50" i="5"/>
  <c r="K43" i="5"/>
  <c r="K66" i="5" s="1"/>
  <c r="K96" i="5"/>
  <c r="K49" i="5"/>
  <c r="K104" i="5" s="1"/>
  <c r="K19" i="5"/>
  <c r="K23" i="5"/>
  <c r="F16" i="7" s="1"/>
  <c r="F17" i="7" s="1"/>
  <c r="K64" i="5"/>
  <c r="K92" i="5"/>
  <c r="K73" i="5"/>
  <c r="K91" i="5"/>
  <c r="K89" i="5"/>
  <c r="K69" i="5"/>
  <c r="K90" i="5"/>
  <c r="L65" i="5"/>
  <c r="K86" i="5"/>
  <c r="J87" i="5"/>
  <c r="J55" i="5"/>
  <c r="J68" i="5"/>
  <c r="J88" i="5"/>
  <c r="J24" i="5"/>
  <c r="J26" i="5"/>
  <c r="E19" i="7" s="1"/>
  <c r="I27" i="5"/>
  <c r="H31" i="5"/>
  <c r="H32" i="5" s="1"/>
  <c r="C20" i="7" s="1"/>
  <c r="C21" i="7" s="1"/>
  <c r="C22" i="7" s="1"/>
  <c r="C26" i="7" s="1"/>
  <c r="H33" i="5"/>
  <c r="K45" i="5"/>
  <c r="J104" i="5"/>
  <c r="J66" i="5"/>
  <c r="E25" i="7" s="1"/>
  <c r="L45" i="5" l="1"/>
  <c r="L89" i="5"/>
  <c r="L67" i="5"/>
  <c r="C30" i="7"/>
  <c r="L43" i="5"/>
  <c r="L96" i="5"/>
  <c r="L49" i="5"/>
  <c r="L19" i="5"/>
  <c r="L23" i="5"/>
  <c r="G16" i="7" s="1"/>
  <c r="G17" i="7" s="1"/>
  <c r="L92" i="5"/>
  <c r="L64" i="5"/>
  <c r="L86" i="5"/>
  <c r="L73" i="5"/>
  <c r="L91" i="5"/>
  <c r="L69" i="5"/>
  <c r="L90" i="5"/>
  <c r="K87" i="5"/>
  <c r="K68" i="5"/>
  <c r="F25" i="7" s="1"/>
  <c r="K88" i="5"/>
  <c r="K55" i="5"/>
  <c r="K24" i="5"/>
  <c r="K26" i="5"/>
  <c r="F19" i="7" s="1"/>
  <c r="J27" i="5"/>
  <c r="H63" i="5"/>
  <c r="H34" i="5"/>
  <c r="H35" i="5"/>
  <c r="H70" i="5" l="1"/>
  <c r="H13" i="8"/>
  <c r="L68" i="5"/>
  <c r="L55" i="5"/>
  <c r="L88" i="5"/>
  <c r="L24" i="5"/>
  <c r="L26" i="5"/>
  <c r="G19" i="7" s="1"/>
  <c r="K27" i="5"/>
  <c r="H97" i="5"/>
  <c r="H76" i="5"/>
  <c r="H37" i="5"/>
  <c r="H75" i="5"/>
  <c r="H36" i="5"/>
  <c r="L87" i="5"/>
  <c r="L104" i="5"/>
  <c r="L66" i="5"/>
  <c r="G25" i="7" l="1"/>
  <c r="H99" i="5"/>
  <c r="H57" i="5"/>
  <c r="H56" i="5"/>
  <c r="L27" i="5"/>
  <c r="H78" i="5"/>
  <c r="H80" i="5" s="1"/>
  <c r="H82" i="5" s="1"/>
  <c r="H98" i="5"/>
  <c r="H14" i="8" l="1"/>
  <c r="H58" i="5"/>
  <c r="H59" i="5" s="1"/>
  <c r="H102" i="5"/>
  <c r="H40" i="5"/>
  <c r="H83" i="5" s="1"/>
  <c r="H12" i="8" s="1"/>
  <c r="I81" i="5"/>
  <c r="I28" i="5" l="1"/>
  <c r="H48" i="5"/>
  <c r="H60" i="5" s="1"/>
  <c r="H11" i="8" s="1"/>
  <c r="H103" i="5"/>
  <c r="I30" i="5" l="1"/>
  <c r="I100" i="5"/>
  <c r="I31" i="5" l="1"/>
  <c r="I32" i="5" l="1"/>
  <c r="D20" i="7" s="1"/>
  <c r="D21" i="7" s="1"/>
  <c r="D22" i="7" s="1"/>
  <c r="D26" i="7" s="1"/>
  <c r="D30" i="7" s="1"/>
  <c r="I33" i="5"/>
  <c r="I34" i="5" l="1"/>
  <c r="I76" i="5" s="1"/>
  <c r="I57" i="5" s="1"/>
  <c r="I63" i="5"/>
  <c r="I13" i="8" s="1"/>
  <c r="I70" i="5"/>
  <c r="I35" i="5" l="1"/>
  <c r="I97" i="5"/>
  <c r="I99" i="5"/>
  <c r="I37" i="5" l="1"/>
  <c r="I36" i="5"/>
  <c r="I75" i="5"/>
  <c r="I98" i="5" l="1"/>
  <c r="I78" i="5"/>
  <c r="I80" i="5" s="1"/>
  <c r="I82" i="5" s="1"/>
  <c r="I56" i="5"/>
  <c r="I40" i="5" l="1"/>
  <c r="J81" i="5"/>
  <c r="I102" i="5"/>
  <c r="I58" i="5"/>
  <c r="I59" i="5" s="1"/>
  <c r="I14" i="8"/>
  <c r="I48" i="5" l="1"/>
  <c r="I60" i="5" s="1"/>
  <c r="I11" i="8" s="1"/>
  <c r="I103" i="5"/>
  <c r="J28" i="5"/>
  <c r="I83" i="5"/>
  <c r="I12" i="8" s="1"/>
  <c r="J100" i="5" l="1"/>
  <c r="J30" i="5"/>
  <c r="J31" i="5" l="1"/>
  <c r="J32" i="5" l="1"/>
  <c r="E20" i="7" s="1"/>
  <c r="E21" i="7" s="1"/>
  <c r="E22" i="7" s="1"/>
  <c r="E26" i="7" s="1"/>
  <c r="E30" i="7" s="1"/>
  <c r="J33" i="5"/>
  <c r="J34" i="5" l="1"/>
  <c r="J63" i="5"/>
  <c r="J99" i="5" l="1"/>
  <c r="J97" i="5"/>
  <c r="J76" i="5"/>
  <c r="J57" i="5" s="1"/>
  <c r="J35" i="5"/>
  <c r="J13" i="8"/>
  <c r="J70" i="5"/>
  <c r="J75" i="5" l="1"/>
  <c r="J37" i="5"/>
  <c r="J36" i="5"/>
  <c r="J98" i="5" l="1"/>
  <c r="J78" i="5"/>
  <c r="J80" i="5" s="1"/>
  <c r="J82" i="5" s="1"/>
  <c r="J56" i="5"/>
  <c r="J14" i="8" s="1"/>
  <c r="K81" i="5" l="1"/>
  <c r="J40" i="5"/>
  <c r="J102" i="5"/>
  <c r="J58" i="5"/>
  <c r="J59" i="5" s="1"/>
  <c r="J103" i="5" l="1"/>
  <c r="K28" i="5"/>
  <c r="J48" i="5"/>
  <c r="J60" i="5" s="1"/>
  <c r="J11" i="8" s="1"/>
  <c r="J83" i="5"/>
  <c r="J12" i="8" s="1"/>
  <c r="K100" i="5" l="1"/>
  <c r="K30" i="5"/>
  <c r="K31" i="5" l="1"/>
  <c r="K32" i="5" l="1"/>
  <c r="F20" i="7" s="1"/>
  <c r="F21" i="7" s="1"/>
  <c r="F22" i="7" s="1"/>
  <c r="F26" i="7" s="1"/>
  <c r="F30" i="7" s="1"/>
  <c r="K33" i="5"/>
  <c r="K63" i="5" l="1"/>
  <c r="K34" i="5"/>
  <c r="K13" i="8" l="1"/>
  <c r="K70" i="5"/>
  <c r="K76" i="5"/>
  <c r="K97" i="5"/>
  <c r="K35" i="5"/>
  <c r="K36" i="5" l="1"/>
  <c r="K37" i="5"/>
  <c r="K75" i="5"/>
  <c r="K57" i="5"/>
  <c r="K99" i="5"/>
  <c r="K98" i="5" l="1"/>
  <c r="K78" i="5"/>
  <c r="K80" i="5" s="1"/>
  <c r="K82" i="5" s="1"/>
  <c r="K56" i="5"/>
  <c r="K14" i="8" s="1"/>
  <c r="L81" i="5" l="1"/>
  <c r="K40" i="5"/>
  <c r="K102" i="5"/>
  <c r="K58" i="5"/>
  <c r="K59" i="5" s="1"/>
  <c r="L28" i="5" l="1"/>
  <c r="K48" i="5"/>
  <c r="K60" i="5" s="1"/>
  <c r="K11" i="8" s="1"/>
  <c r="K103" i="5"/>
  <c r="K83" i="5"/>
  <c r="K12" i="8" s="1"/>
  <c r="L100" i="5" l="1"/>
  <c r="L30" i="5"/>
  <c r="L31" i="5" l="1"/>
  <c r="L32" i="5" l="1"/>
  <c r="G20" i="7" s="1"/>
  <c r="G21" i="7" s="1"/>
  <c r="G22" i="7" s="1"/>
  <c r="G26" i="7" s="1"/>
  <c r="L33" i="5"/>
  <c r="F74" i="7" l="1" a="1"/>
  <c r="F73" i="7" a="1"/>
  <c r="F67" i="7" a="1"/>
  <c r="E67" i="7" a="1"/>
  <c r="D75" i="7" a="1"/>
  <c r="C67" i="7" a="1"/>
  <c r="G74" i="7" a="1"/>
  <c r="C73" i="7" a="1"/>
  <c r="F72" i="7" a="1"/>
  <c r="D64" i="7" a="1"/>
  <c r="C71" i="7" a="1"/>
  <c r="D73" i="7" a="1"/>
  <c r="D72" i="7" a="1"/>
  <c r="G66" i="7" a="1"/>
  <c r="F71" i="7" a="1"/>
  <c r="C33" i="7"/>
  <c r="C35" i="7" s="1"/>
  <c r="G30" i="7"/>
  <c r="C42" i="7" s="1"/>
  <c r="E64" i="7" a="1"/>
  <c r="E71" i="7" a="1"/>
  <c r="F65" i="7" a="1"/>
  <c r="D63" i="7" a="1"/>
  <c r="E65" i="7" a="1"/>
  <c r="G73" i="7" a="1"/>
  <c r="G67" i="7" a="1"/>
  <c r="G63" i="7" a="1"/>
  <c r="C66" i="7" a="1"/>
  <c r="G75" i="7" a="1"/>
  <c r="E66" i="7" a="1"/>
  <c r="D65" i="7" a="1"/>
  <c r="F64" i="7" a="1"/>
  <c r="D71" i="7" a="1"/>
  <c r="F63" i="7" a="1"/>
  <c r="C72" i="7" a="1"/>
  <c r="C64" i="7" a="1"/>
  <c r="D66" i="7" a="1"/>
  <c r="G65" i="7" a="1"/>
  <c r="E74" i="7" a="1"/>
  <c r="C65" i="7" a="1"/>
  <c r="E72" i="7" a="1"/>
  <c r="C75" i="7" a="1"/>
  <c r="C74" i="7" a="1"/>
  <c r="E73" i="7" a="1"/>
  <c r="D67" i="7" a="1"/>
  <c r="E63" i="7" a="1"/>
  <c r="D74" i="7" a="1"/>
  <c r="F66" i="7" a="1"/>
  <c r="G64" i="7" a="1"/>
  <c r="E75" i="7" a="1"/>
  <c r="G72" i="7" a="1"/>
  <c r="C63" i="7" a="1"/>
  <c r="G71" i="7" a="1"/>
  <c r="F75" i="7" a="1"/>
  <c r="L63" i="5"/>
  <c r="L34" i="5"/>
  <c r="C38" i="7" l="1"/>
  <c r="C37" i="7"/>
  <c r="C43" i="7" s="1"/>
  <c r="L13" i="8"/>
  <c r="M13" i="8" s="1" a="1"/>
  <c r="L70" i="5"/>
  <c r="L97" i="5"/>
  <c r="L76" i="5"/>
  <c r="L35" i="5"/>
  <c r="L36" i="5" l="1"/>
  <c r="L75" i="5"/>
  <c r="L37" i="5"/>
  <c r="C44" i="7"/>
  <c r="C45" i="7"/>
  <c r="L57" i="5"/>
  <c r="L99" i="5"/>
  <c r="L98" i="5" l="1"/>
  <c r="L78" i="5"/>
  <c r="L80" i="5" s="1"/>
  <c r="L82" i="5" s="1"/>
  <c r="L40" i="5" s="1"/>
  <c r="L56" i="5"/>
  <c r="C9" i="2"/>
  <c r="C57" i="7"/>
  <c r="C14" i="2" s="1"/>
  <c r="C52" i="7"/>
  <c r="C13" i="2"/>
  <c r="C25" i="8"/>
  <c r="M25" i="8" s="1"/>
  <c r="L103" i="5" l="1"/>
  <c r="C26" i="8" s="1"/>
  <c r="M26" i="8" s="1"/>
  <c r="L48" i="5"/>
  <c r="L83" i="5"/>
  <c r="L12" i="8" s="1"/>
  <c r="M12" i="8" s="1" a="1"/>
  <c r="L102" i="5"/>
  <c r="L58" i="5"/>
  <c r="L59" i="5" s="1"/>
  <c r="L14" i="8"/>
  <c r="M14" i="8" s="1" a="1"/>
  <c r="C54" i="7"/>
  <c r="C10" i="2"/>
  <c r="L60" i="5" l="1"/>
  <c r="L11" i="8" s="1"/>
  <c r="M11" i="8" s="1" a="1"/>
  <c r="C6" i="2"/>
  <c r="C58" i="7"/>
  <c r="C56" i="7"/>
  <c r="C8" i="2" s="1"/>
  <c r="C18" i="8"/>
  <c r="M18" i="8" s="1" a="1"/>
  <c r="C19" i="8"/>
  <c r="M19" i="8" s="1" a="1"/>
  <c r="M28" i="8" l="1"/>
  <c r="C1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<sst xmlns="http://schemas.openxmlformats.org/spreadsheetml/2006/main" count="675" uniqueCount="392">
  <si>
    <t>Revenue from operations</t>
  </si>
  <si>
    <t>Other income</t>
  </si>
  <si>
    <t>Cost of materials consumed</t>
  </si>
  <si>
    <t>Purchases of stock-in-trade</t>
  </si>
  <si>
    <t>Changes in inventories of FG, WIP &amp; stock-in-trade</t>
  </si>
  <si>
    <t>Employee benefits expense</t>
  </si>
  <si>
    <t>Finance costs</t>
  </si>
  <si>
    <t>Depreciation &amp; amortisation</t>
  </si>
  <si>
    <t>Advertisement &amp; sales promotion</t>
  </si>
  <si>
    <t>Other expenses (excl. A&amp;P)</t>
  </si>
  <si>
    <t>Current tax</t>
  </si>
  <si>
    <t>Deferred tax charge / (credit)</t>
  </si>
  <si>
    <t>Attributable to owners</t>
  </si>
  <si>
    <t>Diluted EPS (₹, reported)</t>
  </si>
  <si>
    <t>Property, plant &amp; equipment</t>
  </si>
  <si>
    <t>Capital work-in-progress</t>
  </si>
  <si>
    <t>Right-of-use assets</t>
  </si>
  <si>
    <t>Investment property</t>
  </si>
  <si>
    <t>Goodwill</t>
  </si>
  <si>
    <t>Other intangible assets</t>
  </si>
  <si>
    <t>Non-current investments</t>
  </si>
  <si>
    <t>Non-current loans</t>
  </si>
  <si>
    <t>Other non-current financial assets</t>
  </si>
  <si>
    <t>Deferred tax assets (net)</t>
  </si>
  <si>
    <t>Non-current tax assets (net)</t>
  </si>
  <si>
    <t>Other non-current assets</t>
  </si>
  <si>
    <t>Inventories</t>
  </si>
  <si>
    <t>Current investments</t>
  </si>
  <si>
    <t>Trade receivables</t>
  </si>
  <si>
    <t>Cash &amp; cash equivalents</t>
  </si>
  <si>
    <t>Other bank balances</t>
  </si>
  <si>
    <t>Current loans</t>
  </si>
  <si>
    <t>Other current financial assets</t>
  </si>
  <si>
    <t>Current tax assets (net)</t>
  </si>
  <si>
    <t>Other current assets (incl. held for sale)</t>
  </si>
  <si>
    <t>Equity share capital</t>
  </si>
  <si>
    <t>Reserves &amp; surplus</t>
  </si>
  <si>
    <t>Other reserves</t>
  </si>
  <si>
    <t>Share application money pending allotment</t>
  </si>
  <si>
    <t>Non-controlling interests</t>
  </si>
  <si>
    <t>Non-current borrowings</t>
  </si>
  <si>
    <t>Non-current lease liabilities</t>
  </si>
  <si>
    <t>Other non-current fin. liabilities (obligation to buy NCI)</t>
  </si>
  <si>
    <t>Non-current employee benefit obligations</t>
  </si>
  <si>
    <t>Non-current provisions</t>
  </si>
  <si>
    <t>Deferred tax liabilities (net)</t>
  </si>
  <si>
    <t>Current borrowings</t>
  </si>
  <si>
    <t>Current lease liabilities</t>
  </si>
  <si>
    <t>Trade payables</t>
  </si>
  <si>
    <t>Other current financial liabilities</t>
  </si>
  <si>
    <t>Other current liabilities</t>
  </si>
  <si>
    <t>Current employee benefit obligations</t>
  </si>
  <si>
    <t>Current provisions</t>
  </si>
  <si>
    <t>Current tax liabilities (net)</t>
  </si>
  <si>
    <t>Memo: obligation to buy NCI – current portion (in other current fin. liabilities)</t>
  </si>
  <si>
    <t>Memo: total assets as reported</t>
  </si>
  <si>
    <t>Profit before tax</t>
  </si>
  <si>
    <t>Interest income</t>
  </si>
  <si>
    <t>(Gain)/loss on disposal of PP&amp;E and ROU</t>
  </si>
  <si>
    <t>Fair value gains / profit on sale of investments</t>
  </si>
  <si>
    <t>Employee stock option charge</t>
  </si>
  <si>
    <t>Provision for doubtful debts / bad debts</t>
  </si>
  <si>
    <t>Changes in working capital</t>
  </si>
  <si>
    <t>Income taxes paid (net)</t>
  </si>
  <si>
    <t>Capex (PP&amp;E and intangibles)</t>
  </si>
  <si>
    <t>Acquisition of subsidiaries (net of cash)</t>
  </si>
  <si>
    <t>Proceeds from sale of PP&amp;E</t>
  </si>
  <si>
    <t>Net (purchase)/sale of investments &amp; ICDs</t>
  </si>
  <si>
    <t>Bank deposits (net)</t>
  </si>
  <si>
    <t>Interest received</t>
  </si>
  <si>
    <t>Proceeds from issue of share capital</t>
  </si>
  <si>
    <t>(Purchase)/sale of shares by WEOMA trust (net)</t>
  </si>
  <si>
    <t>Borrowings taken / (repaid) (net)</t>
  </si>
  <si>
    <t>Dividends paid to non-controlling interests</t>
  </si>
  <si>
    <t>Acquisition of non-controlling interests</t>
  </si>
  <si>
    <t>Interest paid</t>
  </si>
  <si>
    <t>Lease payments – principal</t>
  </si>
  <si>
    <t>Lease payments – interest</t>
  </si>
  <si>
    <t>Dividends paid to shareholders</t>
  </si>
  <si>
    <t>Effect of FX translation</t>
  </si>
  <si>
    <t>Opening cash &amp; cash equivalents</t>
  </si>
  <si>
    <t>India</t>
  </si>
  <si>
    <t>International</t>
  </si>
  <si>
    <t>India underlying volume growth</t>
  </si>
  <si>
    <t>International constant-currency growth</t>
  </si>
  <si>
    <t>Total income</t>
  </si>
  <si>
    <t>Total expenses</t>
  </si>
  <si>
    <t>Total tax expense</t>
  </si>
  <si>
    <t>Profit for the year</t>
  </si>
  <si>
    <t>Attributable to non-controlling interests</t>
  </si>
  <si>
    <t>Memo: EBITDA (Revenue less operating costs, excl. other income)</t>
  </si>
  <si>
    <t>Total non-current assets</t>
  </si>
  <si>
    <t>Total current assets</t>
  </si>
  <si>
    <t>Total assets</t>
  </si>
  <si>
    <t>Equity attributable to owners</t>
  </si>
  <si>
    <t>Total equity</t>
  </si>
  <si>
    <t>Total non-current liabilities</t>
  </si>
  <si>
    <t>Total current liabilities</t>
  </si>
  <si>
    <t>Total liabilities</t>
  </si>
  <si>
    <t>Total equity &amp; liabilities</t>
  </si>
  <si>
    <t>Check: total assets less equity &amp; liabilities</t>
  </si>
  <si>
    <t>Memo: total obligation to buy NCI</t>
  </si>
  <si>
    <t>Operating profit before working capital changes</t>
  </si>
  <si>
    <t>Cash generated from operations</t>
  </si>
  <si>
    <t>Net cash from operating activities</t>
  </si>
  <si>
    <t>Net cash from investing activities</t>
  </si>
  <si>
    <t>Net cash from financing activities</t>
  </si>
  <si>
    <t>Net change in cash &amp; cash equivalents</t>
  </si>
  <si>
    <t>Closing cash &amp; cash equivalents</t>
  </si>
  <si>
    <t>Check: closing cash less balance sheet cash</t>
  </si>
  <si>
    <t>Memo: free cash flow (CFO + capex)</t>
  </si>
  <si>
    <t>Total segment revenue</t>
  </si>
  <si>
    <t>Check: segment total less revenue</t>
  </si>
  <si>
    <t>Marico Limited – Reported Consolidated Financial Statements</t>
  </si>
  <si>
    <t>₹ crore</t>
  </si>
  <si>
    <t>FY22A</t>
  </si>
  <si>
    <t>FY23A</t>
  </si>
  <si>
    <t>FY24A</t>
  </si>
  <si>
    <t>FY25A</t>
  </si>
  <si>
    <t>FY26A</t>
  </si>
  <si>
    <t>INCOME STATEMENT</t>
  </si>
  <si>
    <t>BALANCE SHEET</t>
  </si>
  <si>
    <t>CASH FLOW STATEMENT</t>
  </si>
  <si>
    <t>SEGMENT REVENUE &amp; OPERATING KPIs</t>
  </si>
  <si>
    <t>Note: FY22 full statements not retrieved from an official source; only revenue and EBITDA are shown. FX effect on cash shown separately for all years.</t>
  </si>
  <si>
    <t>Marico Limited – Forecast Assumptions</t>
  </si>
  <si>
    <t>Blue = editable input | Selected case (rows 7–29) feeds the model | Historical ratios shown for reference (green = linked)</t>
  </si>
  <si>
    <t>Scenario selector (1 = Bear, 2 = Base, 3 = Bull)</t>
  </si>
  <si>
    <t>SELECTED CASE – DRIVES MODEL</t>
  </si>
  <si>
    <t>Driver</t>
  </si>
  <si>
    <t>Unit</t>
  </si>
  <si>
    <t>FY27E</t>
  </si>
  <si>
    <t>FY28E</t>
  </si>
  <si>
    <t>FY29E</t>
  </si>
  <si>
    <t>FY30E</t>
  </si>
  <si>
    <t>FY31E</t>
  </si>
  <si>
    <t>%</t>
  </si>
  <si>
    <t>India price / mix</t>
  </si>
  <si>
    <t>International FX translation impact</t>
  </si>
  <si>
    <t>Material cost (raw &amp; packing materials)</t>
  </si>
  <si>
    <t>% rev</t>
  </si>
  <si>
    <t>Advertising &amp; sales promotion</t>
  </si>
  <si>
    <t>Employee cost</t>
  </si>
  <si>
    <t>Capex (incl. ROU additions)</t>
  </si>
  <si>
    <t>Trade receivable days</t>
  </si>
  <si>
    <t>days rev</t>
  </si>
  <si>
    <t>Inventory days</t>
  </si>
  <si>
    <t>days mat.</t>
  </si>
  <si>
    <t>Trade payable days</t>
  </si>
  <si>
    <t>Other current assets</t>
  </si>
  <si>
    <t>Effective tax rate</t>
  </si>
  <si>
    <t>% PBT</t>
  </si>
  <si>
    <t>Non-controlling interest share of PAT</t>
  </si>
  <si>
    <t>% PAT</t>
  </si>
  <si>
    <t>Dividend payout – owners</t>
  </si>
  <si>
    <t>Dividend payout – NCI</t>
  </si>
  <si>
    <t>% NCI PAT</t>
  </si>
  <si>
    <t>Yield on treasury assets (opening)</t>
  </si>
  <si>
    <t>Interest rate on debt &amp; leases (opening)</t>
  </si>
  <si>
    <t>Net borrowings / (repayment)</t>
  </si>
  <si>
    <t>₹ cr</t>
  </si>
  <si>
    <t>Terminal growth rate (perpetuity)</t>
  </si>
  <si>
    <t>BEAR CASE</t>
  </si>
  <si>
    <t>BASE CASE</t>
  </si>
  <si>
    <t>BULL CASE</t>
  </si>
  <si>
    <t>India revenue</t>
  </si>
  <si>
    <t xml:space="preserve">  growth %</t>
  </si>
  <si>
    <t>International revenue</t>
  </si>
  <si>
    <t>Material cost</t>
  </si>
  <si>
    <t>Gross profit</t>
  </si>
  <si>
    <t xml:space="preserve">  Gross margin %</t>
  </si>
  <si>
    <t>EBITDA</t>
  </si>
  <si>
    <t xml:space="preserve">  EBITDA margin %</t>
  </si>
  <si>
    <t>EBIT</t>
  </si>
  <si>
    <t xml:space="preserve">  EBIT margin %</t>
  </si>
  <si>
    <t>Tax expense</t>
  </si>
  <si>
    <t xml:space="preserve">  Effective tax rate %</t>
  </si>
  <si>
    <t>Profit after tax</t>
  </si>
  <si>
    <t>PAT attributable to owners</t>
  </si>
  <si>
    <t xml:space="preserve">  Net margin (owners) %</t>
  </si>
  <si>
    <t>Diluted EPS (₹)</t>
  </si>
  <si>
    <t>Treasury investments &amp; bank balances</t>
  </si>
  <si>
    <t>Net fixed assets (PP&amp;E, CWIP, inv. property, ROU)</t>
  </si>
  <si>
    <t>Goodwill &amp; other intangibles</t>
  </si>
  <si>
    <t>Other non-current assets (loans, tax, DTA, other)</t>
  </si>
  <si>
    <t>Other current liabilities (excl. NCI obligation)</t>
  </si>
  <si>
    <t>Borrowings</t>
  </si>
  <si>
    <t>Lease liabilities</t>
  </si>
  <si>
    <t>Obligation to buy non-controlling interests</t>
  </si>
  <si>
    <t>Other non-current liabilities (DTL, employee, provisions)</t>
  </si>
  <si>
    <t>Total liabilities &amp; equity</t>
  </si>
  <si>
    <t>Balance check (assets less liabilities &amp; equity)</t>
  </si>
  <si>
    <t>(Increase)/decrease in trade receivables</t>
  </si>
  <si>
    <t>(Increase)/decrease in inventories</t>
  </si>
  <si>
    <t>(Increase)/decrease in other current assets</t>
  </si>
  <si>
    <t>Increase/(decrease) in trade payables</t>
  </si>
  <si>
    <t>Increase/(decrease) in other current liabilities</t>
  </si>
  <si>
    <t>Cash flow from operating activities</t>
  </si>
  <si>
    <t>Capex</t>
  </si>
  <si>
    <t>Acquisitions, investments &amp; other investing</t>
  </si>
  <si>
    <t>Cash flow from investing activities</t>
  </si>
  <si>
    <t>Dividends paid to owners</t>
  </si>
  <si>
    <t>Dividends paid to NCI</t>
  </si>
  <si>
    <t>Other financing (leases, interest, equity, NCI buy-outs)</t>
  </si>
  <si>
    <t>Cash flow from financing activities</t>
  </si>
  <si>
    <t>FX translation &amp; other</t>
  </si>
  <si>
    <t>Net change in cash</t>
  </si>
  <si>
    <t>Opening cash</t>
  </si>
  <si>
    <t>Closing cash</t>
  </si>
  <si>
    <t>Cash check (closing cash less balance sheet cash)</t>
  </si>
  <si>
    <t>Inventory days (on material cost)</t>
  </si>
  <si>
    <t>Trade payable days (on material cost)</t>
  </si>
  <si>
    <t>Other current assets % revenue</t>
  </si>
  <si>
    <t>Other current liabilities % revenue</t>
  </si>
  <si>
    <t>Capex % revenue</t>
  </si>
  <si>
    <t>D&amp;A % revenue</t>
  </si>
  <si>
    <t>A&amp;P % revenue</t>
  </si>
  <si>
    <t>Employee cost % revenue</t>
  </si>
  <si>
    <t>Other expenses % revenue</t>
  </si>
  <si>
    <t>Material cost % revenue</t>
  </si>
  <si>
    <t>NCI share of PAT</t>
  </si>
  <si>
    <t>Yield on opening cash &amp; treasury</t>
  </si>
  <si>
    <t>Interest rate on opening debt &amp; leases</t>
  </si>
  <si>
    <t>Return on equity (owners, avg.)</t>
  </si>
  <si>
    <t>Net cash / (debt) excl. NCI obligation</t>
  </si>
  <si>
    <t>Trade working capital (AR + inventory – AP)</t>
  </si>
  <si>
    <t>Marico Limited – Integrated Three-Statement Model</t>
  </si>
  <si>
    <t>₹ crore unless stated | FY ends 31 March | Historicals linked from 'Historicals' (green); forecasts driven by 'Assumptions' selected case</t>
  </si>
  <si>
    <t>Actual</t>
  </si>
  <si>
    <t>Forecast</t>
  </si>
  <si>
    <t>REVENUE BUILD</t>
  </si>
  <si>
    <t>BALANCE SHEET (CONDENSED)</t>
  </si>
  <si>
    <t>KEY RATIOS &amp; DRIVERS</t>
  </si>
  <si>
    <t>Marico Limited – Weighted Average Cost of Capital</t>
  </si>
  <si>
    <t>COST OF EQUITY (CAPM)</t>
  </si>
  <si>
    <t>Risk-free rate (India 10-year G-sec yield)</t>
  </si>
  <si>
    <t>Raw equity beta (observed)</t>
  </si>
  <si>
    <t>Adjusted beta (Blume: 0.67 × raw + 0.33)</t>
  </si>
  <si>
    <t>Equity risk premium (India)</t>
  </si>
  <si>
    <t>Cost of equity</t>
  </si>
  <si>
    <t>COST OF DEBT</t>
  </si>
  <si>
    <t>Pre-tax cost of debt</t>
  </si>
  <si>
    <t>Marginal tax rate (India corporate, incl. surcharge &amp; cess)</t>
  </si>
  <si>
    <t>After-tax cost of debt</t>
  </si>
  <si>
    <t>CAPITAL STRUCTURE (MARKET VALUES)</t>
  </si>
  <si>
    <t>Share price (₹)</t>
  </si>
  <si>
    <t>Equity shares outstanding (mn)</t>
  </si>
  <si>
    <t>Dilutive share options (mn)</t>
  </si>
  <si>
    <t>Diluted shares (mn)</t>
  </si>
  <si>
    <t>Market capitalisation (₹ cr)</t>
  </si>
  <si>
    <t>Gross debt incl. lease liabilities (₹ cr, 31-Mar-26)</t>
  </si>
  <si>
    <t>Total capital (₹ cr)</t>
  </si>
  <si>
    <t>Equity weight</t>
  </si>
  <si>
    <t>Debt weight</t>
  </si>
  <si>
    <t>WEIGHTED AVERAGE COST OF CAPITAL</t>
  </si>
  <si>
    <t>Marico Limited – DCF Valuation (Unlevered FCF, Perpetual Growth)</t>
  </si>
  <si>
    <t>₹ crore unless stated | Mid-year discounting from valuation date | Black = formula, green = link, blue = input</t>
  </si>
  <si>
    <t>KEY INPUTS</t>
  </si>
  <si>
    <t>Valuation date</t>
  </si>
  <si>
    <t>Scenario</t>
  </si>
  <si>
    <t>WACC</t>
  </si>
  <si>
    <t>Terminal growth rate</t>
  </si>
  <si>
    <t>Current share price (₹)</t>
  </si>
  <si>
    <t>UNLEVERED FREE CASH FLOW</t>
  </si>
  <si>
    <t>Fiscal year end</t>
  </si>
  <si>
    <t>Revenue</t>
  </si>
  <si>
    <t xml:space="preserve">  Tax rate on EBIT</t>
  </si>
  <si>
    <t>(–) Taxes on EBIT</t>
  </si>
  <si>
    <t>NOPAT</t>
  </si>
  <si>
    <t>(+) Depreciation &amp; amortisation</t>
  </si>
  <si>
    <t>(–) Capex</t>
  </si>
  <si>
    <t>(–) Increase in net working capital</t>
  </si>
  <si>
    <t>Unlevered free cash flow</t>
  </si>
  <si>
    <t>Year fraction included (stub for FY27E)</t>
  </si>
  <si>
    <t>Discount period (mid-year)</t>
  </si>
  <si>
    <t>Discount factor</t>
  </si>
  <si>
    <t>PV of unlevered FCF</t>
  </si>
  <si>
    <t>TERMINAL VALUE</t>
  </si>
  <si>
    <t>Terminal-year unlevered FCF (FY31E)</t>
  </si>
  <si>
    <t>Terminal value at end-FY31E</t>
  </si>
  <si>
    <t>Discount period (end-FY31E)</t>
  </si>
  <si>
    <t>PV of terminal value</t>
  </si>
  <si>
    <t>Implied terminal EV / EBITDA (FY31E)</t>
  </si>
  <si>
    <t>EQUITY VALUE BRIDGE</t>
  </si>
  <si>
    <t>PV of explicit-period FCF</t>
  </si>
  <si>
    <t>Enterprise value</t>
  </si>
  <si>
    <t xml:space="preserve">  Terminal value % of EV</t>
  </si>
  <si>
    <t>(+) Cash &amp; cash equivalents (31-Mar-26)</t>
  </si>
  <si>
    <t>(+) Treasury investments &amp; bank balances (31-Mar-26)</t>
  </si>
  <si>
    <t>(–) Borrowings</t>
  </si>
  <si>
    <t>(–) Lease liabilities</t>
  </si>
  <si>
    <t>(–) Obligation to buy non-controlling interests</t>
  </si>
  <si>
    <t>(–) Non-controlling interests (book value)</t>
  </si>
  <si>
    <t>Equity value</t>
  </si>
  <si>
    <t>Implied value per share (₹)</t>
  </si>
  <si>
    <t>Implied upside / (downside)</t>
  </si>
  <si>
    <t>Implied EV / FY27E EBITDA</t>
  </si>
  <si>
    <t>Implied P/E on FY27E EPS</t>
  </si>
  <si>
    <t>Memo: market-implied EV / FY27E EBITDA</t>
  </si>
  <si>
    <t>SENSITIVITY 1 – IMPLIED VALUE PER SHARE (₹): WACC vs TERMINAL GROWTH</t>
  </si>
  <si>
    <t>SENSITIVITY 2 – IMPLIED VALUE PER SHARE (₹): WACC vs EBITDA MARGIN CHANGE (ALL FORECAST YEARS)</t>
  </si>
  <si>
    <t>WACC \ g</t>
  </si>
  <si>
    <t>WACC \ Δ margin</t>
  </si>
  <si>
    <t>Note: FY27E includes only the cash flow from the valuation date to 31-Mar-27 (stub). Bridge items are at 31-Mar-26; cash generated Apr–Oct 2026 is therefore excluded (conservative).</t>
  </si>
  <si>
    <t>Each cell recomputes the full DCF (explicit FCF + terminal value + bridge). Centre cell (shaded) = base case and equals the implied value per share above.</t>
  </si>
  <si>
    <t>Margin change applied to EBITDA margin in every forecast year (via other opex), taxed at each year's rate; capex and working capital unchanged.</t>
  </si>
  <si>
    <t>Marico Limited – Model Integrity Checks</t>
  </si>
  <si>
    <t>Differences should be zero (₹ crore). Status = OK when every period is within ±0.5.</t>
  </si>
  <si>
    <t>Check</t>
  </si>
  <si>
    <t>Status</t>
  </si>
  <si>
    <t>Historicals: total assets less equity &amp; liabilities</t>
  </si>
  <si>
    <t>Historicals: computed total assets less reported total assets</t>
  </si>
  <si>
    <t>Historicals: cash-flow closing cash less balance-sheet cash</t>
  </si>
  <si>
    <t>Historicals: P&amp;L profit before tax less cash-flow PBT</t>
  </si>
  <si>
    <t>Historicals: segment revenue less total revenue</t>
  </si>
  <si>
    <t>Model: balance sheet balances (assets less L&amp;E)</t>
  </si>
  <si>
    <t>Model: cash-flow closing cash less balance-sheet cash</t>
  </si>
  <si>
    <t>Model: cash-flow net income less P&amp;L net income</t>
  </si>
  <si>
    <t>Model: owners' equity roll-forward (opening + PAT – dividends – closing)</t>
  </si>
  <si>
    <t>Model: historical PBT less reported PBT</t>
  </si>
  <si>
    <t>Model: historical EBITDA less reported EBITDA</t>
  </si>
  <si>
    <t>Model: forecast revenue less segment build</t>
  </si>
  <si>
    <t>DCF: sensitivity 1 centre less implied value per share</t>
  </si>
  <si>
    <t>DCF: sensitivity 2 centre less implied value per share</t>
  </si>
  <si>
    <t>DCF: terminal growth below WACC (1 = breach)</t>
  </si>
  <si>
    <t>DCF: terminal growth below risk-free rate (1 = breach)</t>
  </si>
  <si>
    <t>DCF: WACC sheet shares agree to DCF shares</t>
  </si>
  <si>
    <t>Warning flags (not errors)</t>
  </si>
  <si>
    <t>DCF: terminal value share of EV above 75%</t>
  </si>
  <si>
    <t>Model: forecast net cash / (debt) negative in any year</t>
  </si>
  <si>
    <t>MASTER CHECK</t>
  </si>
  <si>
    <t>INTEGRITY CHECKS</t>
  </si>
  <si>
    <t>Marico Limited (NSE: MARICO) – Three-Statement Model &amp; DCF Valuation</t>
  </si>
  <si>
    <t>₹ crore unless stated | Fiscal year ends 31 March | Historicals FY22A–FY26A (FY22 partial) | Forecast FY27E–FY31E | Prepared 23-Oct-2026</t>
  </si>
  <si>
    <t>VALUATION SUMMARY</t>
  </si>
  <si>
    <t>Enterprise value (₹ cr)</t>
  </si>
  <si>
    <t>Equity value (₹ cr)</t>
  </si>
  <si>
    <t>Terminal value % of EV</t>
  </si>
  <si>
    <t>Market-implied EV / FY27E EBITDA</t>
  </si>
  <si>
    <t>Model integrity (Checks sheet)</t>
  </si>
  <si>
    <t>WORKBOOK STRUCTURE</t>
  </si>
  <si>
    <t>Assumptions – scenario selector (cell C3) and Bear / Base / Bull drivers for FY27E–FY31E, with historical ratios for reference</t>
  </si>
  <si>
    <t>Historicals – reported consolidated P&amp;L, balance sheet, cash flow and segment data, each figure source-noted</t>
  </si>
  <si>
    <t>Model – revenue build (India volume × price/mix; International CCG × FX), integrated IS / BS / CF, key ratios</t>
  </si>
  <si>
    <t>WACC – CAPM cost of equity, cost of debt, market-value weights</t>
  </si>
  <si>
    <t>DCF – unlevered FCF, perpetual-growth terminal value, EV-to-equity bridge, WACC × g and WACC × margin sensitivities</t>
  </si>
  <si>
    <t>Checks – balance sheet, cash, net income, equity roll-forward and DCF consistency checks with master status</t>
  </si>
  <si>
    <t>COLOUR CONVENTIONS</t>
  </si>
  <si>
    <t>KEY SOURCES</t>
  </si>
  <si>
    <t>FY25–FY26: Marico Integrated Annual Report FY2025-26 – https://marico.com/investorspdf/Marico_Annual_Report_FY26.pdf</t>
  </si>
  <si>
    <t>FY23–FY24: Audited consolidated results FY2023-24 (Board Meeting Update, 6-May-2024) – https://marico.com/investorspdf/Board_Meeting_Update_-_May_6,_2024.pdf</t>
  </si>
  <si>
    <t>FY26 KPIs: Q4FY26 Results media release – https://marico.com/investorspdf/Media_Release_Q4FY26.pdf</t>
  </si>
  <si>
    <t>Market data (unofficial aggregators – verify): share price (Trendlyne/NSE close 22-Oct-26), beta (Business Today), 10Y G-sec (Trading Economics, 23-Oct-26)</t>
  </si>
  <si>
    <t>LIMITATIONS &amp; MODELLING NOTES</t>
  </si>
  <si>
    <t>• FY22: full audited statements could not be retrieved from an official source; only revenue and EBITDA (FY26 Annual Report highlights) are shown. No figures were estimated.</t>
  </si>
  <si>
    <t>• Forecast balance sheet is condensed: treasury investments, goodwill, leases, NCI put obligation and other non-current items held flat; surplus cash accumulates in cash.</t>
  </si>
  <si>
    <t>• Leases: lease liabilities held flat; ROU additions are treated as part of capex, so lease cash costs are captured in UFCF.</t>
  </si>
  <si>
    <t>• Other income = yield on opening cash &amp; treasury; finance cost = rate on opening debt &amp; leases (no circularity). Treasury income is excluded from EBIT/UFCF; cash is added in the bridge.</t>
  </si>
  <si>
    <t>• Bridge deducts borrowings, lease liabilities, the ₹2,055 cr obligation to buy NCI (Note 13(b)) and book NCI. Q2FY27 results (board meeting 2-Nov-2026) are not yet reflected.</t>
  </si>
  <si>
    <t>• Q1FY27 trends and FY27 guidance used for assumption rationale are taken from company commentary as reported in press; verify against Marico's Q1FY27 Information Update.</t>
  </si>
  <si>
    <t>Formula / calculation</t>
  </si>
  <si>
    <t>Link to another worksheet</t>
  </si>
  <si>
    <t>Key output / base case</t>
  </si>
  <si>
    <t>Source / rationale</t>
  </si>
  <si>
    <t>Trading Economics (unofficial), 23-Oct-2026 – verify vs RBI/CCIL</t>
  </si>
  <si>
    <t>Business Today stock page (unofficial) – verify vs Bloomberg/NSE</t>
  </si>
  <si>
    <t>Blume adjustment toward 1.0</t>
  </si>
  <si>
    <t>Analyst assumption (India ERP range 5.5–7.5%)</t>
  </si>
  <si>
    <t>Assumption: AAA issuer, ~50bp over G-sec</t>
  </si>
  <si>
    <t>Sec. 115BAA: 22% + 10% surcharge + 4% cess</t>
  </si>
  <si>
    <t>NSE close 22-Oct-2026 via Trendlyne (unofficial) – verify vs NSE</t>
  </si>
  <si>
    <t>Annual Report FY26, Note 12(a) – 31-Mar-2026</t>
  </si>
  <si>
    <t>Annual Report FY26, Note 36 (EPS) – dilutive options</t>
  </si>
  <si>
    <t>Blue = input (source / rationale in column D) | Market data as at 22–23 Oct 2026</t>
  </si>
  <si>
    <t>Date of analysis; bridge items are as at 31-Mar-2026 (latest audited balance sheet)</t>
  </si>
  <si>
    <t>← Enter 1 = Bear, 2 = Base, 3 = Bull; all statements, DCF and sensitivities update</t>
  </si>
  <si>
    <t>BASE-CASE RATIONALE (FY27E)</t>
  </si>
  <si>
    <t>India volume 8%: management guides high-single-digit India volume growth for FY27 (Q1FY27 11%; FY26 8%). Q1FY27 data per press reports – verify vs company update.</t>
  </si>
  <si>
    <t>India price/mix +3%: copra prices have corrected from peak (selective Parachute price cuts), offset by premiumisation in Foods and premium personal care. FY26 ~18%.</t>
  </si>
  <si>
    <t>International CCG 15%: management guides mid-teens constant-currency growth (FY26 20%); tapers to 10% by FY31. FX translation drag –1% p.a. (BDT, VND, EGP, ZAR).</t>
  </si>
  <si>
    <t>Material cost 53.5% of revenue (FY26 55.5%; FY24–25 ~49–50%): copra deflation partly offset by vegetable-oil and crude-linked packaging inflation.</t>
  </si>
  <si>
    <t>A&amp;P 10.3% of revenue: stepped-up brand investment (Q1FY27 A&amp;P reportedly +25% YoY); FY25 10.4%, FY26 9.6%.</t>
  </si>
  <si>
    <t>Other current liabilities 6% of revenue (FY26 6.8% incl. ₹405 cr supplier-finance acceptances; FY25 4.9%).</t>
  </si>
  <si>
    <t>Effective tax 23% (FY26 20.4% helped by deferred tax credit; FY23–25 average ~22.8%). Dividend payout 80% of owners' PAT (FY24 83%).</t>
  </si>
  <si>
    <t>Terminal growth 6.0% nominal INR: below India's nominal GDP growth and the 10-year G-sec yield (7.47%); sensitised ±1% on the DCF sheet.</t>
  </si>
  <si>
    <t>SOURCES (by column)</t>
  </si>
  <si>
    <t>FY22A: Marico Integrated Annual Report FY2025-26, five-year financial highlights (revenue and EBITDA only) – https://marico.com/investorspdf/Marico_Annual_Report_FY26.pdf</t>
  </si>
  <si>
    <t>FY23A, FY24A: Audited consolidated financial results FY2023-24, Board Meeting Update 6-May-2024 – https://marico.com/investorspdf/Board_Meeting_Update_-_May_6,_2024.pdf</t>
  </si>
  <si>
    <t>FY25A, FY26A: Marico Integrated Annual Report FY2025-26, consolidated balance sheet &amp; P&amp;L (pp. 376–377), cash flow (pp. 380–381), Notes 13(b), 24 and segment note</t>
  </si>
  <si>
    <t>FY26 India underlying volume growth and International CCG: Q4FY26 Results media release – https://marico.com/investorspdf/Media_Release_Q4FY26.pdf</t>
  </si>
  <si>
    <t>₹ crore unless stated | Fiscal year ends 31 March | Blue = reported figure (sources listed from row 128); black = formula</t>
  </si>
  <si>
    <t>Hardcoded input / reported figure (sources on Historicals rows 128–132 and WACC column 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</si>
</sst>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;\(#,##0\);&quot;–&quot;"/>
    <numFmt numFmtId="165" formatCode="#,##0.00;\(#,##0.00\);&quot;–&quot;"/>
    <numFmt numFmtId="166" formatCode="0.0%;\(0.0%\);&quot;–&quot;"/>
    <numFmt numFmtId="167" formatCode="0;[Red]\(0\);0"/>
    <numFmt numFmtId="168" formatCode="#,##0.0"/>
    <numFmt numFmtId="169" formatCode="0.0%"/>
    <numFmt numFmtId="170" formatCode="dd\-mmm\-yyyy"/>
    <numFmt numFmtId="171" formatCode="0.000"/>
    <numFmt numFmtId="172" formatCode="0.0%;\(0.0%\)"/>
    <numFmt numFmtId="173" formatCode="0.0&quot;x&quot;"/>
    <numFmt numFmtId="174" formatCode="\+0.0%;\-0.0%;0.0%"/>
    <numFmt numFmtId="175" formatCode="0.0;\(0.0\);&quot;–&quot;"/>
    <numFmt numFmtId="176" formatCode="0.0;[Red]\(0.0\);0.0"/>
    <numFmt numFmtId="177" formatCode="#,##0;[Red]\(#,##0\)"/>
  </numFmts>
  <fonts count="2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8000"/>
      <name val="Arial"/>
      <family val="2"/>
    </font>
    <font>
      <b/>
      <sz val="10"/>
      <color rgb="FF0000FF"/>
      <name val="Arial"/>
      <family val="2"/>
    </font>
    <font>
      <i/>
      <sz val="10"/>
      <color rgb="FF008000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10"/>
      <color rgb="FF616363"/>
      <name val="Arial"/>
      <family val="2"/>
    </font>
    <font>
      <i/>
      <sz val="9"/>
      <color rgb="FF616363"/>
      <name val="Arial"/>
      <family val="2"/>
    </font>
    <font>
      <b/>
      <sz val="16"/>
      <color rgb="FF115E6E"/>
      <name val="Arial"/>
      <family val="2"/>
    </font>
    <font>
      <b/>
      <sz val="14"/>
      <color rgb="FF115E6E"/>
      <name val="Arial"/>
      <family val="2"/>
    </font>
    <font>
      <sz val="10"/>
      <color rgb="FF616363"/>
      <name val="Arial"/>
      <family val="2"/>
    </font>
    <font>
      <i/>
      <sz val="8"/>
      <color rgb="FF616363"/>
      <name val="Arial"/>
      <family val="2"/>
    </font>
    <font>
      <sz val="9"/>
      <color rgb="FF61636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115E6E"/>
        <bgColor indexed="64"/>
      </patternFill>
    </fill>
    <fill>
      <patternFill patternType="solid">
        <fgColor rgb="FFB3E5E3"/>
        <bgColor indexed="64"/>
      </patternFill>
    </fill>
    <fill>
      <patternFill patternType="solid">
        <fgColor rgb="FFDDF1F0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rgb="FF00B0AB"/>
      </bottom>
      <diagonal/>
    </border>
    <border>
      <left style="medium">
        <color rgb="FF00B0AB"/>
      </left>
      <right style="medium">
        <color rgb="FF00B0AB"/>
      </right>
      <top style="medium">
        <color rgb="FF00B0AB"/>
      </top>
      <bottom style="medium">
        <color rgb="FF00B0AB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2" fillId="0" borderId="0" xfId="0" applyNumberFormat="1" applyFont="1"/>
    <xf numFmtId="164" fontId="3" fillId="0" borderId="0" xfId="0" applyNumberFormat="1" applyFont="1"/>
    <xf numFmtId="165" fontId="1" fillId="0" borderId="0" xfId="0" applyNumberFormat="1" applyFont="1"/>
    <xf numFmtId="165" fontId="2" fillId="0" borderId="0" xfId="0" applyNumberFormat="1" applyFont="1"/>
    <xf numFmtId="166" fontId="1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5" fillId="0" borderId="0" xfId="0" applyFont="1"/>
    <xf numFmtId="164" fontId="4" fillId="0" borderId="1" xfId="0" applyNumberFormat="1" applyFont="1" applyBorder="1"/>
    <xf numFmtId="164" fontId="7" fillId="0" borderId="1" xfId="0" applyNumberFormat="1" applyFont="1" applyBorder="1"/>
    <xf numFmtId="164" fontId="4" fillId="0" borderId="2" xfId="0" applyNumberFormat="1" applyFont="1" applyBorder="1"/>
    <xf numFmtId="164" fontId="7" fillId="0" borderId="2" xfId="0" applyNumberFormat="1" applyFont="1" applyBorder="1"/>
    <xf numFmtId="167" fontId="5" fillId="0" borderId="0" xfId="0" applyNumberFormat="1" applyFont="1"/>
    <xf numFmtId="167" fontId="8" fillId="0" borderId="0" xfId="0" applyNumberFormat="1" applyFont="1"/>
    <xf numFmtId="0" fontId="1" fillId="0" borderId="0" xfId="0" applyFont="1" applyAlignment="1">
      <alignment indent="1"/>
    </xf>
    <xf numFmtId="0" fontId="5" fillId="0" borderId="0" xfId="0" applyFont="1" applyAlignment="1">
      <alignment indent="1"/>
    </xf>
    <xf numFmtId="3" fontId="9" fillId="0" borderId="0" xfId="0" applyNumberFormat="1" applyFont="1"/>
    <xf numFmtId="169" fontId="1" fillId="0" borderId="0" xfId="0" applyNumberFormat="1" applyFont="1"/>
    <xf numFmtId="10" fontId="4" fillId="0" borderId="1" xfId="0" applyNumberFormat="1" applyFont="1" applyBorder="1"/>
    <xf numFmtId="168" fontId="4" fillId="0" borderId="1" xfId="0" applyNumberFormat="1" applyFont="1" applyBorder="1"/>
    <xf numFmtId="3" fontId="4" fillId="0" borderId="1" xfId="0" applyNumberFormat="1" applyFont="1" applyBorder="1"/>
    <xf numFmtId="0" fontId="1" fillId="0" borderId="0" xfId="0" applyFont="1" applyBorder="1"/>
    <xf numFmtId="10" fontId="2" fillId="0" borderId="0" xfId="0" applyNumberFormat="1" applyFont="1" applyBorder="1"/>
    <xf numFmtId="2" fontId="2" fillId="0" borderId="0" xfId="0" applyNumberFormat="1" applyFont="1" applyBorder="1"/>
    <xf numFmtId="2" fontId="1" fillId="0" borderId="0" xfId="0" applyNumberFormat="1" applyFont="1" applyBorder="1"/>
    <xf numFmtId="0" fontId="4" fillId="0" borderId="0" xfId="0" applyFont="1" applyBorder="1"/>
    <xf numFmtId="0" fontId="1" fillId="0" borderId="0" xfId="0" applyNumberFormat="1" applyFont="1" applyBorder="1"/>
    <xf numFmtId="4" fontId="2" fillId="0" borderId="0" xfId="0" applyNumberFormat="1" applyFont="1" applyBorder="1"/>
    <xf numFmtId="168" fontId="2" fillId="0" borderId="0" xfId="0" applyNumberFormat="1" applyFont="1" applyBorder="1"/>
    <xf numFmtId="3" fontId="9" fillId="0" borderId="0" xfId="0" applyNumberFormat="1" applyFont="1" applyBorder="1"/>
    <xf numFmtId="3" fontId="1" fillId="0" borderId="0" xfId="0" applyNumberFormat="1" applyFont="1" applyBorder="1"/>
    <xf numFmtId="169" fontId="1" fillId="0" borderId="0" xfId="0" applyNumberFormat="1" applyFont="1" applyBorder="1"/>
    <xf numFmtId="164" fontId="9" fillId="0" borderId="0" xfId="0" applyNumberFormat="1" applyFont="1"/>
    <xf numFmtId="166" fontId="3" fillId="0" borderId="0" xfId="0" applyNumberFormat="1" applyFont="1"/>
    <xf numFmtId="164" fontId="10" fillId="0" borderId="1" xfId="0" applyNumberFormat="1" applyFont="1" applyBorder="1"/>
    <xf numFmtId="0" fontId="4" fillId="0" borderId="1" xfId="0" applyFont="1" applyBorder="1"/>
    <xf numFmtId="3" fontId="1" fillId="0" borderId="1" xfId="0" applyNumberFormat="1" applyFont="1" applyBorder="1"/>
    <xf numFmtId="3" fontId="1" fillId="0" borderId="3" xfId="0" applyNumberFormat="1" applyFont="1" applyBorder="1"/>
    <xf numFmtId="3" fontId="1" fillId="0" borderId="4" xfId="0" applyNumberFormat="1" applyFont="1" applyBorder="1"/>
    <xf numFmtId="3" fontId="1" fillId="0" borderId="5" xfId="0" applyNumberFormat="1" applyFont="1" applyBorder="1"/>
    <xf numFmtId="3" fontId="1" fillId="0" borderId="6" xfId="0" applyNumberFormat="1" applyFont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170" fontId="2" fillId="0" borderId="0" xfId="0" applyNumberFormat="1" applyFont="1" applyBorder="1"/>
    <xf numFmtId="0" fontId="9" fillId="0" borderId="0" xfId="0" applyFont="1" applyBorder="1"/>
    <xf numFmtId="10" fontId="9" fillId="0" borderId="0" xfId="0" applyNumberFormat="1" applyFont="1" applyBorder="1"/>
    <xf numFmtId="4" fontId="9" fillId="0" borderId="0" xfId="0" applyNumberFormat="1" applyFont="1" applyBorder="1"/>
    <xf numFmtId="0" fontId="1" fillId="0" borderId="3" xfId="0" applyFont="1" applyBorder="1"/>
    <xf numFmtId="0" fontId="1" fillId="0" borderId="11" xfId="0" applyFont="1" applyBorder="1"/>
    <xf numFmtId="168" fontId="9" fillId="0" borderId="11" xfId="0" applyNumberFormat="1" applyFont="1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16" xfId="0" applyFont="1" applyBorder="1"/>
    <xf numFmtId="0" fontId="1" fillId="0" borderId="17" xfId="0" applyFont="1" applyBorder="1"/>
    <xf numFmtId="15" fontId="1" fillId="0" borderId="0" xfId="0" applyNumberFormat="1" applyFont="1" applyBorder="1"/>
    <xf numFmtId="164" fontId="9" fillId="0" borderId="0" xfId="0" applyNumberFormat="1" applyFont="1" applyBorder="1"/>
    <xf numFmtId="166" fontId="3" fillId="0" borderId="0" xfId="0" applyNumberFormat="1" applyFont="1" applyBorder="1"/>
    <xf numFmtId="166" fontId="9" fillId="0" borderId="0" xfId="0" applyNumberFormat="1" applyFont="1" applyBorder="1"/>
    <xf numFmtId="164" fontId="3" fillId="0" borderId="0" xfId="0" applyNumberFormat="1" applyFont="1" applyBorder="1"/>
    <xf numFmtId="171" fontId="3" fillId="0" borderId="0" xfId="0" applyNumberFormat="1" applyFont="1" applyBorder="1"/>
    <xf numFmtId="164" fontId="7" fillId="0" borderId="0" xfId="0" applyNumberFormat="1" applyFont="1" applyBorder="1"/>
    <xf numFmtId="0" fontId="4" fillId="0" borderId="11" xfId="0" applyFont="1" applyBorder="1"/>
    <xf numFmtId="164" fontId="7" fillId="0" borderId="11" xfId="0" applyNumberFormat="1" applyFont="1" applyBorder="1"/>
    <xf numFmtId="0" fontId="4" fillId="0" borderId="5" xfId="0" applyFont="1" applyBorder="1"/>
    <xf numFmtId="0" fontId="4" fillId="0" borderId="13" xfId="0" applyFont="1" applyBorder="1"/>
    <xf numFmtId="0" fontId="4" fillId="0" borderId="14" xfId="0" applyFont="1" applyBorder="1"/>
    <xf numFmtId="15" fontId="1" fillId="0" borderId="16" xfId="0" applyNumberFormat="1" applyFont="1" applyBorder="1"/>
    <xf numFmtId="164" fontId="9" fillId="0" borderId="16" xfId="0" applyNumberFormat="1" applyFont="1" applyBorder="1"/>
    <xf numFmtId="166" fontId="3" fillId="0" borderId="16" xfId="0" applyNumberFormat="1" applyFont="1" applyBorder="1"/>
    <xf numFmtId="164" fontId="10" fillId="0" borderId="18" xfId="0" applyNumberFormat="1" applyFont="1" applyBorder="1"/>
    <xf numFmtId="166" fontId="9" fillId="0" borderId="16" xfId="0" applyNumberFormat="1" applyFont="1" applyBorder="1"/>
    <xf numFmtId="164" fontId="3" fillId="0" borderId="16" xfId="0" applyNumberFormat="1" applyFont="1" applyBorder="1"/>
    <xf numFmtId="164" fontId="7" fillId="0" borderId="18" xfId="0" applyNumberFormat="1" applyFont="1" applyBorder="1"/>
    <xf numFmtId="164" fontId="7" fillId="0" borderId="19" xfId="0" applyNumberFormat="1" applyFont="1" applyBorder="1"/>
    <xf numFmtId="171" fontId="3" fillId="0" borderId="16" xfId="0" applyNumberFormat="1" applyFont="1" applyBorder="1"/>
    <xf numFmtId="164" fontId="7" fillId="0" borderId="17" xfId="0" applyNumberFormat="1" applyFont="1" applyBorder="1"/>
    <xf numFmtId="172" fontId="3" fillId="0" borderId="0" xfId="0" applyNumberFormat="1" applyFont="1" applyBorder="1"/>
    <xf numFmtId="173" fontId="3" fillId="0" borderId="0" xfId="0" applyNumberFormat="1" applyFont="1" applyBorder="1"/>
    <xf numFmtId="173" fontId="3" fillId="0" borderId="11" xfId="0" applyNumberFormat="1" applyFont="1" applyBorder="1"/>
    <xf numFmtId="0" fontId="4" fillId="0" borderId="16" xfId="0" applyFont="1" applyBorder="1"/>
    <xf numFmtId="168" fontId="3" fillId="0" borderId="0" xfId="0" applyNumberFormat="1" applyFont="1" applyBorder="1"/>
    <xf numFmtId="4" fontId="3" fillId="0" borderId="0" xfId="0" applyNumberFormat="1" applyFont="1" applyBorder="1"/>
    <xf numFmtId="172" fontId="7" fillId="0" borderId="0" xfId="0" applyNumberFormat="1" applyFont="1" applyBorder="1"/>
    <xf numFmtId="0" fontId="4" fillId="0" borderId="18" xfId="0" applyFont="1" applyBorder="1"/>
    <xf numFmtId="175" fontId="1" fillId="0" borderId="0" xfId="0" applyNumberFormat="1" applyFont="1"/>
    <xf numFmtId="175" fontId="3" fillId="0" borderId="0" xfId="0" applyNumberFormat="1" applyFont="1"/>
    <xf numFmtId="165" fontId="9" fillId="0" borderId="0" xfId="0" applyNumberFormat="1" applyFont="1"/>
    <xf numFmtId="165" fontId="3" fillId="0" borderId="0" xfId="0" applyNumberFormat="1" applyFont="1"/>
    <xf numFmtId="166" fontId="5" fillId="0" borderId="0" xfId="0" applyNumberFormat="1" applyFont="1"/>
    <xf numFmtId="166" fontId="8" fillId="0" borderId="0" xfId="0" applyNumberFormat="1" applyFont="1"/>
    <xf numFmtId="0" fontId="5" fillId="2" borderId="0" xfId="0" applyFont="1" applyFill="1"/>
    <xf numFmtId="167" fontId="5" fillId="2" borderId="0" xfId="0" applyNumberFormat="1" applyFont="1" applyFill="1"/>
    <xf numFmtId="167" fontId="8" fillId="2" borderId="0" xfId="0" applyNumberFormat="1" applyFont="1" applyFill="1"/>
    <xf numFmtId="164" fontId="3" fillId="0" borderId="5" xfId="0" applyNumberFormat="1" applyFont="1" applyBorder="1"/>
    <xf numFmtId="166" fontId="8" fillId="0" borderId="5" xfId="0" applyNumberFormat="1" applyFont="1" applyBorder="1"/>
    <xf numFmtId="164" fontId="7" fillId="0" borderId="4" xfId="0" applyNumberFormat="1" applyFont="1" applyBorder="1"/>
    <xf numFmtId="164" fontId="1" fillId="0" borderId="5" xfId="0" applyNumberFormat="1" applyFont="1" applyBorder="1"/>
    <xf numFmtId="165" fontId="3" fillId="0" borderId="5" xfId="0" applyNumberFormat="1" applyFont="1" applyBorder="1"/>
    <xf numFmtId="164" fontId="7" fillId="0" borderId="20" xfId="0" applyNumberFormat="1" applyFont="1" applyBorder="1"/>
    <xf numFmtId="167" fontId="8" fillId="2" borderId="5" xfId="0" applyNumberFormat="1" applyFont="1" applyFill="1" applyBorder="1"/>
    <xf numFmtId="175" fontId="3" fillId="0" borderId="5" xfId="0" applyNumberFormat="1" applyFont="1" applyBorder="1"/>
    <xf numFmtId="166" fontId="3" fillId="0" borderId="5" xfId="0" applyNumberFormat="1" applyFont="1" applyBorder="1"/>
    <xf numFmtId="166" fontId="1" fillId="0" borderId="0" xfId="0" applyNumberFormat="1" applyFont="1" applyBorder="1"/>
    <xf numFmtId="175" fontId="1" fillId="0" borderId="0" xfId="0" applyNumberFormat="1" applyFont="1" applyBorder="1"/>
    <xf numFmtId="164" fontId="1" fillId="0" borderId="0" xfId="0" applyNumberFormat="1" applyFont="1" applyBorder="1"/>
    <xf numFmtId="166" fontId="1" fillId="0" borderId="3" xfId="0" applyNumberFormat="1" applyFont="1" applyBorder="1"/>
    <xf numFmtId="0" fontId="1" fillId="0" borderId="6" xfId="0" applyFont="1" applyBorder="1"/>
    <xf numFmtId="166" fontId="1" fillId="0" borderId="9" xfId="0" applyNumberFormat="1" applyFont="1" applyBorder="1"/>
    <xf numFmtId="166" fontId="5" fillId="0" borderId="0" xfId="0" applyNumberFormat="1" applyFont="1" applyBorder="1"/>
    <xf numFmtId="166" fontId="12" fillId="0" borderId="0" xfId="0" applyNumberFormat="1" applyFont="1" applyBorder="1"/>
    <xf numFmtId="175" fontId="5" fillId="0" borderId="0" xfId="0" applyNumberFormat="1" applyFont="1" applyBorder="1"/>
    <xf numFmtId="175" fontId="12" fillId="0" borderId="0" xfId="0" applyNumberFormat="1" applyFont="1" applyBorder="1"/>
    <xf numFmtId="164" fontId="5" fillId="0" borderId="0" xfId="0" applyNumberFormat="1" applyFont="1" applyBorder="1"/>
    <xf numFmtId="164" fontId="12" fillId="0" borderId="0" xfId="0" applyNumberFormat="1" applyFont="1" applyBorder="1"/>
    <xf numFmtId="166" fontId="5" fillId="0" borderId="3" xfId="0" applyNumberFormat="1" applyFont="1" applyBorder="1"/>
    <xf numFmtId="166" fontId="2" fillId="0" borderId="5" xfId="0" applyNumberFormat="1" applyFont="1" applyBorder="1"/>
    <xf numFmtId="175" fontId="2" fillId="0" borderId="5" xfId="0" applyNumberFormat="1" applyFont="1" applyBorder="1"/>
    <xf numFmtId="164" fontId="2" fillId="0" borderId="5" xfId="0" applyNumberFormat="1" applyFont="1" applyBorder="1"/>
    <xf numFmtId="166" fontId="2" fillId="0" borderId="0" xfId="0" applyNumberFormat="1" applyFont="1" applyBorder="1"/>
    <xf numFmtId="175" fontId="2" fillId="0" borderId="0" xfId="0" applyNumberFormat="1" applyFont="1" applyBorder="1"/>
    <xf numFmtId="164" fontId="2" fillId="0" borderId="0" xfId="0" applyNumberFormat="1" applyFont="1" applyBorder="1"/>
    <xf numFmtId="166" fontId="2" fillId="0" borderId="6" xfId="0" applyNumberFormat="1" applyFont="1" applyBorder="1"/>
    <xf numFmtId="166" fontId="2" fillId="0" borderId="8" xfId="0" applyNumberFormat="1" applyFont="1" applyBorder="1"/>
    <xf numFmtId="175" fontId="2" fillId="0" borderId="8" xfId="0" applyNumberFormat="1" applyFont="1" applyBorder="1"/>
    <xf numFmtId="164" fontId="2" fillId="0" borderId="8" xfId="0" applyNumberFormat="1" applyFont="1" applyBorder="1"/>
    <xf numFmtId="166" fontId="1" fillId="2" borderId="5" xfId="0" applyNumberFormat="1" applyFont="1" applyFill="1" applyBorder="1"/>
    <xf numFmtId="166" fontId="1" fillId="2" borderId="0" xfId="0" applyNumberFormat="1" applyFont="1" applyFill="1" applyBorder="1"/>
    <xf numFmtId="166" fontId="1" fillId="2" borderId="8" xfId="0" applyNumberFormat="1" applyFont="1" applyFill="1" applyBorder="1"/>
    <xf numFmtId="175" fontId="1" fillId="2" borderId="5" xfId="0" applyNumberFormat="1" applyFont="1" applyFill="1" applyBorder="1"/>
    <xf numFmtId="175" fontId="1" fillId="2" borderId="0" xfId="0" applyNumberFormat="1" applyFont="1" applyFill="1" applyBorder="1"/>
    <xf numFmtId="175" fontId="1" fillId="2" borderId="8" xfId="0" applyNumberFormat="1" applyFont="1" applyFill="1" applyBorder="1"/>
    <xf numFmtId="164" fontId="1" fillId="2" borderId="5" xfId="0" applyNumberFormat="1" applyFont="1" applyFill="1" applyBorder="1"/>
    <xf numFmtId="164" fontId="1" fillId="2" borderId="0" xfId="0" applyNumberFormat="1" applyFont="1" applyFill="1" applyBorder="1"/>
    <xf numFmtId="164" fontId="1" fillId="2" borderId="8" xfId="0" applyNumberFormat="1" applyFont="1" applyFill="1" applyBorder="1"/>
    <xf numFmtId="166" fontId="1" fillId="2" borderId="6" xfId="0" applyNumberFormat="1" applyFont="1" applyFill="1" applyBorder="1"/>
    <xf numFmtId="166" fontId="1" fillId="2" borderId="3" xfId="0" applyNumberFormat="1" applyFont="1" applyFill="1" applyBorder="1"/>
    <xf numFmtId="166" fontId="1" fillId="2" borderId="9" xfId="0" applyNumberFormat="1" applyFont="1" applyFill="1" applyBorder="1"/>
    <xf numFmtId="176" fontId="1" fillId="0" borderId="0" xfId="0" applyNumberFormat="1" applyFont="1"/>
    <xf numFmtId="177" fontId="1" fillId="0" borderId="0" xfId="0" applyNumberFormat="1" applyFont="1"/>
    <xf numFmtId="0" fontId="4" fillId="0" borderId="0" xfId="0" applyFont="1" applyAlignment="1">
      <alignment horizontal="right"/>
    </xf>
    <xf numFmtId="3" fontId="2" fillId="0" borderId="0" xfId="0" applyNumberFormat="1" applyFont="1"/>
    <xf numFmtId="3" fontId="3" fillId="0" borderId="0" xfId="0" applyNumberFormat="1" applyFont="1"/>
    <xf numFmtId="0" fontId="9" fillId="0" borderId="8" xfId="0" applyFont="1" applyBorder="1" applyAlignment="1">
      <alignment horizontal="right"/>
    </xf>
    <xf numFmtId="4" fontId="9" fillId="0" borderId="8" xfId="0" applyNumberFormat="1" applyFont="1" applyBorder="1" applyAlignment="1">
      <alignment horizontal="right"/>
    </xf>
    <xf numFmtId="172" fontId="10" fillId="0" borderId="8" xfId="0" applyNumberFormat="1" applyFont="1" applyBorder="1" applyAlignment="1">
      <alignment horizontal="right"/>
    </xf>
    <xf numFmtId="3" fontId="9" fillId="0" borderId="8" xfId="0" applyNumberFormat="1" applyFont="1" applyBorder="1" applyAlignment="1">
      <alignment horizontal="right"/>
    </xf>
    <xf numFmtId="10" fontId="9" fillId="0" borderId="8" xfId="0" applyNumberFormat="1" applyFont="1" applyBorder="1" applyAlignment="1">
      <alignment horizontal="right"/>
    </xf>
    <xf numFmtId="169" fontId="9" fillId="0" borderId="8" xfId="0" applyNumberFormat="1" applyFont="1" applyBorder="1" applyAlignment="1">
      <alignment horizontal="right"/>
    </xf>
    <xf numFmtId="173" fontId="9" fillId="0" borderId="8" xfId="0" applyNumberFormat="1" applyFont="1" applyBorder="1" applyAlignment="1">
      <alignment horizontal="right"/>
    </xf>
    <xf numFmtId="49" fontId="9" fillId="0" borderId="9" xfId="0" applyNumberFormat="1" applyFont="1" applyBorder="1" applyAlignment="1">
      <alignment horizontal="right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6" fillId="0" borderId="0" xfId="0" applyFont="1" applyBorder="1"/>
    <xf numFmtId="0" fontId="6" fillId="3" borderId="0" xfId="0" applyFont="1" applyFill="1"/>
    <xf numFmtId="0" fontId="6" fillId="3" borderId="4" xfId="0" applyFont="1" applyFill="1" applyBorder="1"/>
    <xf numFmtId="0" fontId="6" fillId="3" borderId="1" xfId="0" applyFont="1" applyFill="1" applyBorder="1"/>
    <xf numFmtId="0" fontId="6" fillId="3" borderId="7" xfId="0" applyFont="1" applyFill="1" applyBorder="1"/>
    <xf numFmtId="0" fontId="4" fillId="4" borderId="5" xfId="0" applyFont="1" applyFill="1" applyBorder="1"/>
    <xf numFmtId="0" fontId="4" fillId="4" borderId="0" xfId="0" applyFont="1" applyFill="1" applyBorder="1"/>
    <xf numFmtId="4" fontId="10" fillId="4" borderId="8" xfId="0" applyNumberFormat="1" applyFont="1" applyFill="1" applyBorder="1" applyAlignment="1">
      <alignment horizontal="right"/>
    </xf>
    <xf numFmtId="0" fontId="1" fillId="4" borderId="0" xfId="0" applyFont="1" applyFill="1"/>
    <xf numFmtId="0" fontId="14" fillId="3" borderId="0" xfId="0" applyFont="1" applyFill="1"/>
    <xf numFmtId="0" fontId="4" fillId="5" borderId="5" xfId="0" applyFont="1" applyFill="1" applyBorder="1"/>
    <xf numFmtId="0" fontId="4" fillId="5" borderId="0" xfId="0" applyFont="1" applyFill="1" applyBorder="1"/>
    <xf numFmtId="0" fontId="4" fillId="5" borderId="0" xfId="0" applyFont="1" applyFill="1" applyBorder="1" applyAlignment="1">
      <alignment horizontal="right"/>
    </xf>
    <xf numFmtId="0" fontId="4" fillId="5" borderId="5" xfId="0" applyFont="1" applyFill="1" applyBorder="1" applyAlignment="1">
      <alignment horizontal="right"/>
    </xf>
    <xf numFmtId="0" fontId="4" fillId="5" borderId="8" xfId="0" applyFont="1" applyFill="1" applyBorder="1" applyAlignment="1">
      <alignment horizontal="right"/>
    </xf>
    <xf numFmtId="0" fontId="4" fillId="5" borderId="0" xfId="0" applyFont="1" applyFill="1"/>
    <xf numFmtId="0" fontId="4" fillId="5" borderId="0" xfId="0" applyFont="1" applyFill="1" applyAlignment="1">
      <alignment horizontal="right"/>
    </xf>
    <xf numFmtId="164" fontId="6" fillId="3" borderId="0" xfId="0" applyNumberFormat="1" applyFont="1" applyFill="1"/>
    <xf numFmtId="0" fontId="6" fillId="3" borderId="5" xfId="0" applyFont="1" applyFill="1" applyBorder="1"/>
    <xf numFmtId="164" fontId="6" fillId="3" borderId="5" xfId="0" applyNumberFormat="1" applyFont="1" applyFill="1" applyBorder="1"/>
    <xf numFmtId="0" fontId="6" fillId="3" borderId="0" xfId="0" applyFont="1" applyFill="1" applyBorder="1"/>
    <xf numFmtId="0" fontId="6" fillId="3" borderId="0" xfId="0" applyNumberFormat="1" applyFont="1" applyFill="1" applyBorder="1"/>
    <xf numFmtId="0" fontId="4" fillId="4" borderId="3" xfId="0" applyFont="1" applyFill="1" applyBorder="1"/>
    <xf numFmtId="10" fontId="4" fillId="4" borderId="3" xfId="0" applyNumberFormat="1" applyFont="1" applyFill="1" applyBorder="1"/>
    <xf numFmtId="0" fontId="6" fillId="3" borderId="12" xfId="0" applyFont="1" applyFill="1" applyBorder="1"/>
    <xf numFmtId="0" fontId="6" fillId="3" borderId="10" xfId="0" applyFont="1" applyFill="1" applyBorder="1"/>
    <xf numFmtId="0" fontId="6" fillId="3" borderId="15" xfId="0" applyFont="1" applyFill="1" applyBorder="1"/>
    <xf numFmtId="0" fontId="4" fillId="5" borderId="13" xfId="0" applyFont="1" applyFill="1" applyBorder="1"/>
    <xf numFmtId="0" fontId="4" fillId="5" borderId="16" xfId="0" applyFont="1" applyFill="1" applyBorder="1" applyAlignment="1">
      <alignment horizontal="right"/>
    </xf>
    <xf numFmtId="164" fontId="6" fillId="3" borderId="10" xfId="0" applyNumberFormat="1" applyFont="1" applyFill="1" applyBorder="1"/>
    <xf numFmtId="0" fontId="4" fillId="4" borderId="13" xfId="0" applyFont="1" applyFill="1" applyBorder="1"/>
    <xf numFmtId="164" fontId="7" fillId="4" borderId="1" xfId="0" applyNumberFormat="1" applyFont="1" applyFill="1" applyBorder="1"/>
    <xf numFmtId="4" fontId="7" fillId="4" borderId="0" xfId="0" applyNumberFormat="1" applyFont="1" applyFill="1" applyBorder="1"/>
    <xf numFmtId="169" fontId="4" fillId="5" borderId="0" xfId="0" applyNumberFormat="1" applyFont="1" applyFill="1"/>
    <xf numFmtId="3" fontId="4" fillId="4" borderId="0" xfId="0" applyNumberFormat="1" applyFont="1" applyFill="1" applyBorder="1"/>
    <xf numFmtId="174" fontId="11" fillId="5" borderId="0" xfId="0" applyNumberFormat="1" applyFont="1" applyFill="1"/>
    <xf numFmtId="0" fontId="6" fillId="3" borderId="0" xfId="0" applyFont="1" applyFill="1" applyAlignment="1">
      <alignment horizontal="right"/>
    </xf>
    <xf numFmtId="0" fontId="4" fillId="4" borderId="0" xfId="0" applyFont="1" applyFill="1"/>
    <xf numFmtId="0" fontId="4" fillId="4" borderId="0" xfId="0" applyFont="1" applyFill="1" applyAlignment="1">
      <alignment horizontal="right"/>
    </xf>
    <xf numFmtId="0" fontId="17" fillId="0" borderId="21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9" fillId="0" borderId="0" xfId="0" applyFont="1"/>
    <xf numFmtId="0" fontId="18" fillId="0" borderId="21" xfId="0" applyFont="1" applyBorder="1" applyAlignment="1">
      <alignment vertical="center"/>
    </xf>
    <xf numFmtId="0" fontId="20" fillId="0" borderId="0" xfId="0" applyFont="1"/>
    <xf numFmtId="0" fontId="21" fillId="0" borderId="0" xfId="0" applyFont="1"/>
    <xf numFmtId="0" fontId="15" fillId="0" borderId="0" xfId="0" applyFont="1" applyAlignment="1">
      <alignment horizontal="right"/>
    </xf>
    <xf numFmtId="0" fontId="15" fillId="0" borderId="5" xfId="0" applyFont="1" applyBorder="1" applyAlignment="1">
      <alignment horizontal="right"/>
    </xf>
    <xf numFmtId="0" fontId="11" fillId="5" borderId="22" xfId="0" applyFont="1" applyFill="1" applyBorder="1" applyAlignment="1">
      <alignment horizontal="center"/>
    </xf>
  </cellXfs>
  <cellStyles count="1">
    <cellStyle name="Normal" xfId="0" builtinId="0"/>
  </cellStyles>
  <dxfs count="2">
    <dxf>
      <font>
        <color rgb="FFC55A11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DBBAF3-D7EA-E342-ADAD-F6F048C87A6F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5e860f56-ea58-4e4e-9e53-076e0b905cd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F63D-E76C-EE4F-A6F6-2F4E489AD0CE}">
  <sheetPr>
    <tabColor rgb="FF115E6E"/>
  </sheetPr>
  <dimension ref="A1:Z44"/>
  <sheetViews>
    <sheetView showGridLines="0" workbookViewId="0"/>
  </sheetViews>
  <sheetFormatPr baseColWidth="10" defaultRowHeight="16" x14ac:dyDescent="0.2"/>
  <cols>
    <col min="1" max="1" width="50" style="1" customWidth="1"/>
    <col min="2" max="2" width="6.6640625" style="1" customWidth="1"/>
    <col min="3" max="3" width="18.33203125" style="1" customWidth="1"/>
    <col min="4" max="26" width="10.83203125" style="1"/>
  </cols>
  <sheetData>
    <row r="1" spans="1:3" ht="24" customHeight="1" thickBot="1" x14ac:dyDescent="0.25">
      <c r="A1" s="197" t="s">
        <v>332</v>
      </c>
      <c r="B1" s="198"/>
      <c r="C1" s="198"/>
    </row>
    <row r="2" spans="1:3" x14ac:dyDescent="0.2">
      <c r="A2" s="156" t="s">
        <v>333</v>
      </c>
    </row>
    <row r="4" spans="1:3" x14ac:dyDescent="0.2">
      <c r="A4" s="160" t="s">
        <v>334</v>
      </c>
      <c r="B4" s="161"/>
      <c r="C4" s="162"/>
    </row>
    <row r="5" spans="1:3" x14ac:dyDescent="0.2">
      <c r="A5" s="54" t="s">
        <v>259</v>
      </c>
      <c r="B5" s="24"/>
      <c r="C5" s="147" t="str">
        <f>Assumptions!D3</f>
        <v>Base case</v>
      </c>
    </row>
    <row r="6" spans="1:3" x14ac:dyDescent="0.2">
      <c r="A6" s="163" t="s">
        <v>294</v>
      </c>
      <c r="B6" s="164"/>
      <c r="C6" s="165">
        <f>DCF!C54</f>
        <v>319.97159273498573</v>
      </c>
    </row>
    <row r="7" spans="1:3" x14ac:dyDescent="0.2">
      <c r="A7" s="54" t="s">
        <v>262</v>
      </c>
      <c r="B7" s="24"/>
      <c r="C7" s="148">
        <f>DCF!C55</f>
        <v>775</v>
      </c>
    </row>
    <row r="8" spans="1:3" x14ac:dyDescent="0.2">
      <c r="A8" s="68" t="s">
        <v>295</v>
      </c>
      <c r="B8" s="28"/>
      <c r="C8" s="149">
        <f>DCF!C56</f>
        <v>-0.58713342872905061</v>
      </c>
    </row>
    <row r="9" spans="1:3" x14ac:dyDescent="0.2">
      <c r="A9" s="54" t="s">
        <v>335</v>
      </c>
      <c r="B9" s="24"/>
      <c r="C9" s="150">
        <f>DCF!C44</f>
        <v>41947.13708643998</v>
      </c>
    </row>
    <row r="10" spans="1:3" x14ac:dyDescent="0.2">
      <c r="A10" s="54" t="s">
        <v>336</v>
      </c>
      <c r="B10" s="24"/>
      <c r="C10" s="150">
        <f>DCF!C52</f>
        <v>41627.13708643998</v>
      </c>
    </row>
    <row r="11" spans="1:3" x14ac:dyDescent="0.2">
      <c r="A11" s="54" t="s">
        <v>260</v>
      </c>
      <c r="B11" s="24"/>
      <c r="C11" s="151">
        <f>DCF!C7</f>
        <v>0.11469907567592932</v>
      </c>
    </row>
    <row r="12" spans="1:3" x14ac:dyDescent="0.2">
      <c r="A12" s="54" t="s">
        <v>261</v>
      </c>
      <c r="B12" s="24"/>
      <c r="C12" s="151">
        <f>DCF!C8</f>
        <v>0.06</v>
      </c>
    </row>
    <row r="13" spans="1:3" x14ac:dyDescent="0.2">
      <c r="A13" s="54" t="s">
        <v>337</v>
      </c>
      <c r="B13" s="24"/>
      <c r="C13" s="152">
        <f>DCF!C45</f>
        <v>0.80720832955522792</v>
      </c>
    </row>
    <row r="14" spans="1:3" x14ac:dyDescent="0.2">
      <c r="A14" s="54" t="s">
        <v>296</v>
      </c>
      <c r="B14" s="24"/>
      <c r="C14" s="153">
        <f>DCF!C57</f>
        <v>15.220774931930663</v>
      </c>
    </row>
    <row r="15" spans="1:3" x14ac:dyDescent="0.2">
      <c r="A15" s="54" t="s">
        <v>338</v>
      </c>
      <c r="B15" s="24"/>
      <c r="C15" s="153">
        <f>DCF!C59</f>
        <v>36.700962494736629</v>
      </c>
    </row>
    <row r="16" spans="1:3" x14ac:dyDescent="0.2">
      <c r="A16" s="111" t="s">
        <v>339</v>
      </c>
      <c r="B16" s="51"/>
      <c r="C16" s="154" t="str">
        <f>Checks!M28</f>
        <v>ALL CHECKS PASS</v>
      </c>
    </row>
    <row r="18" spans="1:3" x14ac:dyDescent="0.2">
      <c r="A18" s="159" t="s">
        <v>340</v>
      </c>
      <c r="B18" s="159"/>
      <c r="C18" s="159"/>
    </row>
    <row r="19" spans="1:3" x14ac:dyDescent="0.2">
      <c r="A19" s="1" t="s">
        <v>341</v>
      </c>
    </row>
    <row r="20" spans="1:3" x14ac:dyDescent="0.2">
      <c r="A20" s="1" t="s">
        <v>342</v>
      </c>
    </row>
    <row r="21" spans="1:3" x14ac:dyDescent="0.2">
      <c r="A21" s="1" t="s">
        <v>343</v>
      </c>
    </row>
    <row r="22" spans="1:3" x14ac:dyDescent="0.2">
      <c r="A22" s="1" t="s">
        <v>344</v>
      </c>
    </row>
    <row r="23" spans="1:3" x14ac:dyDescent="0.2">
      <c r="A23" s="1" t="s">
        <v>345</v>
      </c>
    </row>
    <row r="24" spans="1:3" x14ac:dyDescent="0.2">
      <c r="A24" s="1" t="s">
        <v>346</v>
      </c>
    </row>
    <row r="26" spans="1:3" x14ac:dyDescent="0.2">
      <c r="A26" s="159" t="s">
        <v>347</v>
      </c>
      <c r="B26" s="159"/>
      <c r="C26" s="159"/>
    </row>
    <row r="27" spans="1:3" x14ac:dyDescent="0.2">
      <c r="A27" s="145">
        <v>1234</v>
      </c>
      <c r="B27" s="1" t="s">
        <v>391</v>
      </c>
    </row>
    <row r="28" spans="1:3" x14ac:dyDescent="0.2">
      <c r="A28" s="146">
        <v>1234</v>
      </c>
      <c r="B28" s="1" t="s">
        <v>360</v>
      </c>
    </row>
    <row r="29" spans="1:3" x14ac:dyDescent="0.2">
      <c r="A29" s="19">
        <v>1234</v>
      </c>
      <c r="B29" s="1" t="s">
        <v>361</v>
      </c>
    </row>
    <row r="30" spans="1:3" x14ac:dyDescent="0.2">
      <c r="A30" s="166"/>
      <c r="B30" s="1" t="s">
        <v>362</v>
      </c>
    </row>
    <row r="32" spans="1:3" x14ac:dyDescent="0.2">
      <c r="A32" s="159" t="s">
        <v>348</v>
      </c>
      <c r="B32" s="159"/>
      <c r="C32" s="159"/>
    </row>
    <row r="33" spans="1:3" x14ac:dyDescent="0.2">
      <c r="A33" s="155" t="s">
        <v>349</v>
      </c>
    </row>
    <row r="34" spans="1:3" x14ac:dyDescent="0.2">
      <c r="A34" s="155" t="s">
        <v>350</v>
      </c>
    </row>
    <row r="35" spans="1:3" x14ac:dyDescent="0.2">
      <c r="A35" s="155" t="s">
        <v>351</v>
      </c>
    </row>
    <row r="36" spans="1:3" x14ac:dyDescent="0.2">
      <c r="A36" s="155" t="s">
        <v>352</v>
      </c>
    </row>
    <row r="37" spans="1:3" x14ac:dyDescent="0.2">
      <c r="A37" s="155"/>
    </row>
    <row r="38" spans="1:3" x14ac:dyDescent="0.2">
      <c r="A38" s="167" t="s">
        <v>353</v>
      </c>
      <c r="B38" s="159"/>
      <c r="C38" s="159"/>
    </row>
    <row r="39" spans="1:3" x14ac:dyDescent="0.2">
      <c r="A39" s="155" t="s">
        <v>354</v>
      </c>
    </row>
    <row r="40" spans="1:3" x14ac:dyDescent="0.2">
      <c r="A40" s="155" t="s">
        <v>355</v>
      </c>
    </row>
    <row r="41" spans="1:3" x14ac:dyDescent="0.2">
      <c r="A41" s="155" t="s">
        <v>356</v>
      </c>
    </row>
    <row r="42" spans="1:3" x14ac:dyDescent="0.2">
      <c r="A42" s="155" t="s">
        <v>357</v>
      </c>
    </row>
    <row r="43" spans="1:3" x14ac:dyDescent="0.2">
      <c r="A43" s="155" t="s">
        <v>358</v>
      </c>
    </row>
    <row r="44" spans="1:3" x14ac:dyDescent="0.2">
      <c r="A44" s="155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7642-CEB3-954D-A104-A811A82990ED}">
  <sheetPr>
    <tabColor rgb="FF00B0AB"/>
  </sheetPr>
  <dimension ref="A1:Z120"/>
  <sheetViews>
    <sheetView showGridLines="0" workbookViewId="0">
      <pane ySplit="6" topLeftCell="A7" activePane="bottomLeft" state="frozen"/>
      <selection pane="bottomLeft"/>
    </sheetView>
  </sheetViews>
  <sheetFormatPr baseColWidth="10" defaultRowHeight="16" x14ac:dyDescent="0.2"/>
  <cols>
    <col min="1" max="1" width="43.33203125" style="1" customWidth="1"/>
    <col min="2" max="2" width="10.33203125" style="1" customWidth="1"/>
    <col min="3" max="12" width="10.6640625" style="1" customWidth="1"/>
    <col min="13" max="26" width="10.83203125" style="1"/>
  </cols>
  <sheetData>
    <row r="1" spans="1:12" ht="24" customHeight="1" thickBot="1" x14ac:dyDescent="0.25">
      <c r="A1" s="200" t="s">
        <v>125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1:12" ht="17" thickBot="1" x14ac:dyDescent="0.25">
      <c r="A2" s="156" t="s">
        <v>126</v>
      </c>
    </row>
    <row r="3" spans="1:12" ht="17" thickBot="1" x14ac:dyDescent="0.25">
      <c r="A3" s="9" t="s">
        <v>127</v>
      </c>
      <c r="B3" s="9"/>
      <c r="C3" s="205">
        <v>2</v>
      </c>
      <c r="D3" s="9" t="str">
        <f>CHOOSE(C3,"Bear case","Base case","Bull case")</f>
        <v>Base case</v>
      </c>
      <c r="E3" s="157" t="s">
        <v>375</v>
      </c>
    </row>
    <row r="5" spans="1:12" x14ac:dyDescent="0.2">
      <c r="A5" s="160" t="s">
        <v>128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2"/>
    </row>
    <row r="6" spans="1:12" x14ac:dyDescent="0.2">
      <c r="A6" s="168" t="s">
        <v>129</v>
      </c>
      <c r="B6" s="169" t="s">
        <v>130</v>
      </c>
      <c r="C6" s="170" t="s">
        <v>115</v>
      </c>
      <c r="D6" s="170" t="s">
        <v>116</v>
      </c>
      <c r="E6" s="170" t="s">
        <v>117</v>
      </c>
      <c r="F6" s="170" t="s">
        <v>118</v>
      </c>
      <c r="G6" s="170" t="s">
        <v>119</v>
      </c>
      <c r="H6" s="171" t="s">
        <v>131</v>
      </c>
      <c r="I6" s="170" t="s">
        <v>132</v>
      </c>
      <c r="J6" s="170" t="s">
        <v>133</v>
      </c>
      <c r="K6" s="170" t="s">
        <v>134</v>
      </c>
      <c r="L6" s="172" t="s">
        <v>135</v>
      </c>
    </row>
    <row r="7" spans="1:12" x14ac:dyDescent="0.2">
      <c r="A7" s="54" t="s">
        <v>83</v>
      </c>
      <c r="B7" s="24" t="s">
        <v>136</v>
      </c>
      <c r="C7" s="113"/>
      <c r="D7" s="113"/>
      <c r="E7" s="113"/>
      <c r="F7" s="113"/>
      <c r="G7" s="114">
        <f>Historicals!G125</f>
        <v>0.08</v>
      </c>
      <c r="H7" s="130">
        <f>CHOOSE($C$3,H34,H61,H88)</f>
        <v>0.08</v>
      </c>
      <c r="I7" s="131">
        <f>CHOOSE($C$3,I34,I61,I88)</f>
        <v>7.0000000000000007E-2</v>
      </c>
      <c r="J7" s="131">
        <f>CHOOSE($C$3,J34,J61,J88)</f>
        <v>7.0000000000000007E-2</v>
      </c>
      <c r="K7" s="131">
        <f>CHOOSE($C$3,K34,K61,K88)</f>
        <v>6.5000000000000002E-2</v>
      </c>
      <c r="L7" s="132">
        <f>CHOOSE($C$3,L34,L61,L88)</f>
        <v>0.06</v>
      </c>
    </row>
    <row r="8" spans="1:12" x14ac:dyDescent="0.2">
      <c r="A8" s="54" t="s">
        <v>137</v>
      </c>
      <c r="B8" s="24" t="s">
        <v>136</v>
      </c>
      <c r="C8" s="113"/>
      <c r="D8" s="113"/>
      <c r="E8" s="113"/>
      <c r="F8" s="113"/>
      <c r="G8" s="114">
        <f>(1+Model!G9)/(1+Historicals!G125)-1</f>
        <v>0.18144037996072515</v>
      </c>
      <c r="H8" s="130">
        <f>CHOOSE($C$3,H35,H62,H89)</f>
        <v>0.03</v>
      </c>
      <c r="I8" s="131">
        <f>CHOOSE($C$3,I35,I62,I89)</f>
        <v>0.03</v>
      </c>
      <c r="J8" s="131">
        <f>CHOOSE($C$3,J35,J62,J89)</f>
        <v>3.5000000000000003E-2</v>
      </c>
      <c r="K8" s="131">
        <f>CHOOSE($C$3,K35,K62,K89)</f>
        <v>3.5000000000000003E-2</v>
      </c>
      <c r="L8" s="132">
        <f>CHOOSE($C$3,L35,L62,L89)</f>
        <v>3.5000000000000003E-2</v>
      </c>
    </row>
    <row r="9" spans="1:12" x14ac:dyDescent="0.2">
      <c r="A9" s="54" t="s">
        <v>84</v>
      </c>
      <c r="B9" s="24" t="s">
        <v>136</v>
      </c>
      <c r="C9" s="113"/>
      <c r="D9" s="113"/>
      <c r="E9" s="113"/>
      <c r="F9" s="113"/>
      <c r="G9" s="114">
        <f>Historicals!G126</f>
        <v>0.2</v>
      </c>
      <c r="H9" s="130">
        <f>CHOOSE($C$3,H36,H63,H90)</f>
        <v>0.15</v>
      </c>
      <c r="I9" s="131">
        <f>CHOOSE($C$3,I36,I63,I90)</f>
        <v>0.13</v>
      </c>
      <c r="J9" s="131">
        <f>CHOOSE($C$3,J36,J63,J90)</f>
        <v>0.12</v>
      </c>
      <c r="K9" s="131">
        <f>CHOOSE($C$3,K36,K63,K90)</f>
        <v>0.11</v>
      </c>
      <c r="L9" s="132">
        <f>CHOOSE($C$3,L36,L63,L90)</f>
        <v>0.1</v>
      </c>
    </row>
    <row r="10" spans="1:12" x14ac:dyDescent="0.2">
      <c r="A10" s="54" t="s">
        <v>138</v>
      </c>
      <c r="B10" s="24" t="s">
        <v>136</v>
      </c>
      <c r="C10" s="113"/>
      <c r="D10" s="113"/>
      <c r="E10" s="113"/>
      <c r="F10" s="113"/>
      <c r="G10" s="114">
        <f>(1+Model!G11)/(1+Historicals!G126)-1</f>
        <v>-6.7377189758666134E-4</v>
      </c>
      <c r="H10" s="130">
        <f>CHOOSE($C$3,H37,H64,H91)</f>
        <v>-0.01</v>
      </c>
      <c r="I10" s="131">
        <f>CHOOSE($C$3,I37,I64,I91)</f>
        <v>-0.01</v>
      </c>
      <c r="J10" s="131">
        <f>CHOOSE($C$3,J37,J64,J91)</f>
        <v>-0.01</v>
      </c>
      <c r="K10" s="131">
        <f>CHOOSE($C$3,K37,K64,K91)</f>
        <v>-0.01</v>
      </c>
      <c r="L10" s="132">
        <f>CHOOSE($C$3,L37,L64,L91)</f>
        <v>-0.01</v>
      </c>
    </row>
    <row r="11" spans="1:12" x14ac:dyDescent="0.2">
      <c r="A11" s="54" t="s">
        <v>139</v>
      </c>
      <c r="B11" s="24" t="s">
        <v>140</v>
      </c>
      <c r="C11" s="113"/>
      <c r="D11" s="114">
        <f>Model!D96</f>
        <v>0.54803359278984021</v>
      </c>
      <c r="E11" s="114">
        <f>Model!E96</f>
        <v>0.49186781311509375</v>
      </c>
      <c r="F11" s="114">
        <f>Model!F96</f>
        <v>0.49746099159819041</v>
      </c>
      <c r="G11" s="114">
        <f>Model!G96</f>
        <v>0.55535963558886192</v>
      </c>
      <c r="H11" s="130">
        <f>CHOOSE($C$3,H38,H65,H92)</f>
        <v>0.53500000000000003</v>
      </c>
      <c r="I11" s="131">
        <f>CHOOSE($C$3,I38,I65,I92)</f>
        <v>0.52500000000000002</v>
      </c>
      <c r="J11" s="131">
        <f>CHOOSE($C$3,J38,J65,J92)</f>
        <v>0.52</v>
      </c>
      <c r="K11" s="131">
        <f>CHOOSE($C$3,K38,K65,K92)</f>
        <v>0.52</v>
      </c>
      <c r="L11" s="132">
        <f>CHOOSE($C$3,L38,L65,L92)</f>
        <v>0.52</v>
      </c>
    </row>
    <row r="12" spans="1:12" x14ac:dyDescent="0.2">
      <c r="A12" s="54" t="s">
        <v>141</v>
      </c>
      <c r="B12" s="24" t="s">
        <v>140</v>
      </c>
      <c r="C12" s="113"/>
      <c r="D12" s="114">
        <f>Model!D93</f>
        <v>8.6235149528881602E-2</v>
      </c>
      <c r="E12" s="114">
        <f>Model!E93</f>
        <v>9.8622189992748369E-2</v>
      </c>
      <c r="F12" s="114">
        <f>Model!F93</f>
        <v>0.10414550826331825</v>
      </c>
      <c r="G12" s="114">
        <f>Model!G93</f>
        <v>9.5584453750642867E-2</v>
      </c>
      <c r="H12" s="130">
        <f>CHOOSE($C$3,H39,H66,H93)</f>
        <v>0.10299999999999999</v>
      </c>
      <c r="I12" s="131">
        <f>CHOOSE($C$3,I39,I66,I93)</f>
        <v>0.10299999999999999</v>
      </c>
      <c r="J12" s="131">
        <f>CHOOSE($C$3,J39,J66,J93)</f>
        <v>0.10299999999999999</v>
      </c>
      <c r="K12" s="131">
        <f>CHOOSE($C$3,K39,K66,K93)</f>
        <v>0.10299999999999999</v>
      </c>
      <c r="L12" s="132">
        <f>CHOOSE($C$3,L39,L66,L93)</f>
        <v>0.10299999999999999</v>
      </c>
    </row>
    <row r="13" spans="1:12" x14ac:dyDescent="0.2">
      <c r="A13" s="54" t="s">
        <v>142</v>
      </c>
      <c r="B13" s="24" t="s">
        <v>140</v>
      </c>
      <c r="C13" s="113"/>
      <c r="D13" s="114">
        <f>Model!D94</f>
        <v>6.6878328553871366E-2</v>
      </c>
      <c r="E13" s="114">
        <f>Model!E94</f>
        <v>7.6970889878794163E-2</v>
      </c>
      <c r="F13" s="114">
        <f>Model!F94</f>
        <v>7.6724217523774355E-2</v>
      </c>
      <c r="G13" s="114">
        <f>Model!G94</f>
        <v>6.7298508559253539E-2</v>
      </c>
      <c r="H13" s="130">
        <f>CHOOSE($C$3,H40,H67,H94)</f>
        <v>6.8000000000000005E-2</v>
      </c>
      <c r="I13" s="131">
        <f>CHOOSE($C$3,I40,I67,I94)</f>
        <v>6.8000000000000005E-2</v>
      </c>
      <c r="J13" s="131">
        <f>CHOOSE($C$3,J40,J67,J94)</f>
        <v>6.8000000000000005E-2</v>
      </c>
      <c r="K13" s="131">
        <f>CHOOSE($C$3,K40,K67,K94)</f>
        <v>6.8000000000000005E-2</v>
      </c>
      <c r="L13" s="132">
        <f>CHOOSE($C$3,L40,L67,L94)</f>
        <v>6.8000000000000005E-2</v>
      </c>
    </row>
    <row r="14" spans="1:12" x14ac:dyDescent="0.2">
      <c r="A14" s="54" t="s">
        <v>9</v>
      </c>
      <c r="B14" s="24" t="s">
        <v>140</v>
      </c>
      <c r="C14" s="113"/>
      <c r="D14" s="114">
        <f>Model!D95</f>
        <v>0.1134780827529701</v>
      </c>
      <c r="E14" s="114">
        <f>Model!E95</f>
        <v>0.12265616906661142</v>
      </c>
      <c r="F14" s="114">
        <f>Model!F95</f>
        <v>0.12418059274305235</v>
      </c>
      <c r="G14" s="114">
        <f>Model!G95</f>
        <v>0.1107192711777239</v>
      </c>
      <c r="H14" s="130">
        <f>CHOOSE($C$3,H41,H68,H95)</f>
        <v>0.113</v>
      </c>
      <c r="I14" s="131">
        <f>CHOOSE($C$3,I41,I68,I95)</f>
        <v>0.113</v>
      </c>
      <c r="J14" s="131">
        <f>CHOOSE($C$3,J41,J68,J95)</f>
        <v>0.113</v>
      </c>
      <c r="K14" s="131">
        <f>CHOOSE($C$3,K41,K68,K95)</f>
        <v>0.113</v>
      </c>
      <c r="L14" s="132">
        <f>CHOOSE($C$3,L41,L68,L95)</f>
        <v>0.113</v>
      </c>
    </row>
    <row r="15" spans="1:12" x14ac:dyDescent="0.2">
      <c r="A15" s="54" t="s">
        <v>7</v>
      </c>
      <c r="B15" s="24" t="s">
        <v>140</v>
      </c>
      <c r="C15" s="113"/>
      <c r="D15" s="114">
        <f>Model!D92</f>
        <v>1.5874641540352313E-2</v>
      </c>
      <c r="E15" s="114">
        <f>Model!E92</f>
        <v>1.6367968507199834E-2</v>
      </c>
      <c r="F15" s="114">
        <f>Model!F92</f>
        <v>1.6434308928076815E-2</v>
      </c>
      <c r="G15" s="114">
        <f>Model!G92</f>
        <v>1.4840937477040629E-2</v>
      </c>
      <c r="H15" s="130">
        <f>CHOOSE($C$3,H42,H69,H96)</f>
        <v>1.55E-2</v>
      </c>
      <c r="I15" s="131">
        <f>CHOOSE($C$3,I42,I69,I96)</f>
        <v>1.55E-2</v>
      </c>
      <c r="J15" s="131">
        <f>CHOOSE($C$3,J42,J69,J96)</f>
        <v>1.55E-2</v>
      </c>
      <c r="K15" s="131">
        <f>CHOOSE($C$3,K42,K69,K96)</f>
        <v>1.55E-2</v>
      </c>
      <c r="L15" s="132">
        <f>CHOOSE($C$3,L42,L69,L96)</f>
        <v>1.55E-2</v>
      </c>
    </row>
    <row r="16" spans="1:12" x14ac:dyDescent="0.2">
      <c r="A16" s="54" t="s">
        <v>143</v>
      </c>
      <c r="B16" s="24" t="s">
        <v>140</v>
      </c>
      <c r="C16" s="113"/>
      <c r="D16" s="114">
        <f>Model!D91</f>
        <v>1.8639901679639491E-2</v>
      </c>
      <c r="E16" s="114">
        <f>Model!E91</f>
        <v>1.5849994820263131E-2</v>
      </c>
      <c r="F16" s="114">
        <f>Model!F91</f>
        <v>1.4864740097867233E-2</v>
      </c>
      <c r="G16" s="114">
        <f>Model!G91</f>
        <v>2.3436926015722576E-2</v>
      </c>
      <c r="H16" s="130">
        <f>CHOOSE($C$3,H43,H70,H97)</f>
        <v>2.1999999999999999E-2</v>
      </c>
      <c r="I16" s="131">
        <f>CHOOSE($C$3,I43,I70,I97)</f>
        <v>2.1999999999999999E-2</v>
      </c>
      <c r="J16" s="131">
        <f>CHOOSE($C$3,J43,J70,J97)</f>
        <v>2.1999999999999999E-2</v>
      </c>
      <c r="K16" s="131">
        <f>CHOOSE($C$3,K43,K70,K97)</f>
        <v>2.1999999999999999E-2</v>
      </c>
      <c r="L16" s="132">
        <f>CHOOSE($C$3,L43,L70,L97)</f>
        <v>2.1999999999999999E-2</v>
      </c>
    </row>
    <row r="17" spans="1:12" x14ac:dyDescent="0.2">
      <c r="A17" s="54" t="s">
        <v>144</v>
      </c>
      <c r="B17" s="24" t="s">
        <v>145</v>
      </c>
      <c r="C17" s="115"/>
      <c r="D17" s="116">
        <f>Model!D86</f>
        <v>37.942953707496926</v>
      </c>
      <c r="E17" s="116">
        <f>Model!E86</f>
        <v>40.421112607479543</v>
      </c>
      <c r="F17" s="116">
        <f>Model!F86</f>
        <v>42.83214846274582</v>
      </c>
      <c r="G17" s="116">
        <f>Model!G86</f>
        <v>34.968775255308202</v>
      </c>
      <c r="H17" s="133">
        <f>CHOOSE($C$3,H44,H71,H98)</f>
        <v>37</v>
      </c>
      <c r="I17" s="134">
        <f>CHOOSE($C$3,I44,I71,I98)</f>
        <v>37</v>
      </c>
      <c r="J17" s="134">
        <f>CHOOSE($C$3,J44,J71,J98)</f>
        <v>37</v>
      </c>
      <c r="K17" s="134">
        <f>CHOOSE($C$3,K44,K71,K98)</f>
        <v>37</v>
      </c>
      <c r="L17" s="135">
        <f>CHOOSE($C$3,L44,L71,L98)</f>
        <v>37</v>
      </c>
    </row>
    <row r="18" spans="1:12" x14ac:dyDescent="0.2">
      <c r="A18" s="54" t="s">
        <v>146</v>
      </c>
      <c r="B18" s="24" t="s">
        <v>147</v>
      </c>
      <c r="C18" s="115"/>
      <c r="D18" s="116">
        <f>Model!D87</f>
        <v>83.559147822836849</v>
      </c>
      <c r="E18" s="116">
        <f>Model!E87</f>
        <v>102.70429654591406</v>
      </c>
      <c r="F18" s="116">
        <f>Model!F87</f>
        <v>83.66276911655531</v>
      </c>
      <c r="G18" s="116">
        <f>Model!G87</f>
        <v>77.790051594126211</v>
      </c>
      <c r="H18" s="133">
        <f>CHOOSE($C$3,H45,H72,H99)</f>
        <v>80</v>
      </c>
      <c r="I18" s="134">
        <f>CHOOSE($C$3,I45,I72,I99)</f>
        <v>80</v>
      </c>
      <c r="J18" s="134">
        <f>CHOOSE($C$3,J45,J72,J99)</f>
        <v>80</v>
      </c>
      <c r="K18" s="134">
        <f>CHOOSE($C$3,K45,K72,K99)</f>
        <v>80</v>
      </c>
      <c r="L18" s="135">
        <f>CHOOSE($C$3,L45,L72,L99)</f>
        <v>80</v>
      </c>
    </row>
    <row r="19" spans="1:12" x14ac:dyDescent="0.2">
      <c r="A19" s="54" t="s">
        <v>148</v>
      </c>
      <c r="B19" s="24" t="s">
        <v>147</v>
      </c>
      <c r="C19" s="115"/>
      <c r="D19" s="116">
        <f>Model!D88</f>
        <v>99.043169501027847</v>
      </c>
      <c r="E19" s="116">
        <f>Model!E88</f>
        <v>121.53854254422916</v>
      </c>
      <c r="F19" s="116">
        <f>Model!F88</f>
        <v>88.472531551596148</v>
      </c>
      <c r="G19" s="116">
        <f>Model!G88</f>
        <v>78.900648233893378</v>
      </c>
      <c r="H19" s="133">
        <f>CHOOSE($C$3,H46,H73,H100)</f>
        <v>80</v>
      </c>
      <c r="I19" s="134">
        <f>CHOOSE($C$3,I46,I73,I100)</f>
        <v>80</v>
      </c>
      <c r="J19" s="134">
        <f>CHOOSE($C$3,J46,J73,J100)</f>
        <v>80</v>
      </c>
      <c r="K19" s="134">
        <f>CHOOSE($C$3,K46,K73,K100)</f>
        <v>80</v>
      </c>
      <c r="L19" s="135">
        <f>CHOOSE($C$3,L46,L73,L100)</f>
        <v>80</v>
      </c>
    </row>
    <row r="20" spans="1:12" x14ac:dyDescent="0.2">
      <c r="A20" s="54" t="s">
        <v>149</v>
      </c>
      <c r="B20" s="24" t="s">
        <v>140</v>
      </c>
      <c r="C20" s="113"/>
      <c r="D20" s="114">
        <f>Model!D89</f>
        <v>2.5194592380172062E-2</v>
      </c>
      <c r="E20" s="114">
        <f>Model!E89</f>
        <v>4.1023516005386923E-2</v>
      </c>
      <c r="F20" s="114">
        <f>Model!F89</f>
        <v>3.8685255285753853E-2</v>
      </c>
      <c r="G20" s="114">
        <f>Model!G89</f>
        <v>3.7028873705091468E-2</v>
      </c>
      <c r="H20" s="130">
        <f>CHOOSE($C$3,H47,H74,H101)</f>
        <v>3.6999999999999998E-2</v>
      </c>
      <c r="I20" s="131">
        <f>CHOOSE($C$3,I47,I74,I101)</f>
        <v>3.6999999999999998E-2</v>
      </c>
      <c r="J20" s="131">
        <f>CHOOSE($C$3,J47,J74,J101)</f>
        <v>3.6999999999999998E-2</v>
      </c>
      <c r="K20" s="131">
        <f>CHOOSE($C$3,K47,K74,K101)</f>
        <v>3.6999999999999998E-2</v>
      </c>
      <c r="L20" s="132">
        <f>CHOOSE($C$3,L47,L74,L101)</f>
        <v>3.6999999999999998E-2</v>
      </c>
    </row>
    <row r="21" spans="1:12" x14ac:dyDescent="0.2">
      <c r="A21" s="54" t="s">
        <v>50</v>
      </c>
      <c r="B21" s="24" t="s">
        <v>140</v>
      </c>
      <c r="C21" s="113"/>
      <c r="D21" s="114">
        <f>Model!D90</f>
        <v>4.7316673494469483E-2</v>
      </c>
      <c r="E21" s="114">
        <f>Model!E90</f>
        <v>4.5478089713042576E-2</v>
      </c>
      <c r="F21" s="114">
        <f>Model!F90</f>
        <v>4.9395254362478075E-2</v>
      </c>
      <c r="G21" s="114">
        <f>Model!G90</f>
        <v>6.8253618396884874E-2</v>
      </c>
      <c r="H21" s="130">
        <f>CHOOSE($C$3,H48,H75,H102)</f>
        <v>0.06</v>
      </c>
      <c r="I21" s="131">
        <f>CHOOSE($C$3,I48,I75,I102)</f>
        <v>0.06</v>
      </c>
      <c r="J21" s="131">
        <f>CHOOSE($C$3,J48,J75,J102)</f>
        <v>0.06</v>
      </c>
      <c r="K21" s="131">
        <f>CHOOSE($C$3,K48,K75,K102)</f>
        <v>0.06</v>
      </c>
      <c r="L21" s="132">
        <f>CHOOSE($C$3,L48,L75,L102)</f>
        <v>0.06</v>
      </c>
    </row>
    <row r="22" spans="1:12" x14ac:dyDescent="0.2">
      <c r="A22" s="54" t="s">
        <v>150</v>
      </c>
      <c r="B22" s="24" t="s">
        <v>151</v>
      </c>
      <c r="C22" s="113"/>
      <c r="D22" s="114">
        <f>Model!D32</f>
        <v>0.24153757888697647</v>
      </c>
      <c r="E22" s="114">
        <f>Model!E32</f>
        <v>0.22457408363448633</v>
      </c>
      <c r="F22" s="114">
        <f>Model!F32</f>
        <v>0.21644612476370512</v>
      </c>
      <c r="G22" s="114">
        <f>Model!G32</f>
        <v>0.20377689942907334</v>
      </c>
      <c r="H22" s="130">
        <f>CHOOSE($C$3,H49,H76,H103)</f>
        <v>0.23</v>
      </c>
      <c r="I22" s="131">
        <f>CHOOSE($C$3,I49,I76,I103)</f>
        <v>0.23</v>
      </c>
      <c r="J22" s="131">
        <f>CHOOSE($C$3,J49,J76,J103)</f>
        <v>0.23</v>
      </c>
      <c r="K22" s="131">
        <f>CHOOSE($C$3,K49,K76,K103)</f>
        <v>0.23</v>
      </c>
      <c r="L22" s="132">
        <f>CHOOSE($C$3,L49,L76,L103)</f>
        <v>0.23</v>
      </c>
    </row>
    <row r="23" spans="1:12" x14ac:dyDescent="0.2">
      <c r="A23" s="54" t="s">
        <v>152</v>
      </c>
      <c r="B23" s="24" t="s">
        <v>153</v>
      </c>
      <c r="C23" s="113"/>
      <c r="D23" s="114">
        <f>Model!D97</f>
        <v>1.5128593040847202E-2</v>
      </c>
      <c r="E23" s="114">
        <f>Model!E97</f>
        <v>1.3981358189081226E-2</v>
      </c>
      <c r="F23" s="114">
        <f>Model!F97</f>
        <v>1.7490952955367914E-2</v>
      </c>
      <c r="G23" s="114">
        <f>Model!G97</f>
        <v>2.8130170987313845E-2</v>
      </c>
      <c r="H23" s="130">
        <f>CHOOSE($C$3,H50,H77,H104)</f>
        <v>2.5000000000000001E-2</v>
      </c>
      <c r="I23" s="131">
        <f>CHOOSE($C$3,I50,I77,I104)</f>
        <v>2.5000000000000001E-2</v>
      </c>
      <c r="J23" s="131">
        <f>CHOOSE($C$3,J50,J77,J104)</f>
        <v>2.5000000000000001E-2</v>
      </c>
      <c r="K23" s="131">
        <f>CHOOSE($C$3,K50,K77,K104)</f>
        <v>2.5000000000000001E-2</v>
      </c>
      <c r="L23" s="132">
        <f>CHOOSE($C$3,L50,L77,L104)</f>
        <v>2.5000000000000001E-2</v>
      </c>
    </row>
    <row r="24" spans="1:12" x14ac:dyDescent="0.2">
      <c r="A24" s="54" t="s">
        <v>154</v>
      </c>
      <c r="B24" s="24" t="s">
        <v>153</v>
      </c>
      <c r="C24" s="113"/>
      <c r="D24" s="114">
        <f>Model!D98</f>
        <v>0.44700460829493088</v>
      </c>
      <c r="E24" s="114">
        <f>Model!E98</f>
        <v>0.82984469952734641</v>
      </c>
      <c r="F24" s="114">
        <f>Model!F98</f>
        <v>0.27808471454880296</v>
      </c>
      <c r="G24" s="114">
        <f>Model!G98</f>
        <v>0.51532349602724181</v>
      </c>
      <c r="H24" s="130">
        <f>CHOOSE($C$3,H51,H78,H105)</f>
        <v>0.8</v>
      </c>
      <c r="I24" s="131">
        <f>CHOOSE($C$3,I51,I78,I105)</f>
        <v>0.8</v>
      </c>
      <c r="J24" s="131">
        <f>CHOOSE($C$3,J51,J78,J105)</f>
        <v>0.8</v>
      </c>
      <c r="K24" s="131">
        <f>CHOOSE($C$3,K51,K78,K105)</f>
        <v>0.8</v>
      </c>
      <c r="L24" s="132">
        <f>CHOOSE($C$3,L51,L78,L105)</f>
        <v>0.8</v>
      </c>
    </row>
    <row r="25" spans="1:12" x14ac:dyDescent="0.2">
      <c r="A25" s="54" t="s">
        <v>155</v>
      </c>
      <c r="B25" s="24" t="s">
        <v>156</v>
      </c>
      <c r="C25" s="113"/>
      <c r="D25" s="114">
        <f>Model!D99</f>
        <v>1.25</v>
      </c>
      <c r="E25" s="114">
        <f>Model!E99</f>
        <v>0</v>
      </c>
      <c r="F25" s="114">
        <f>Model!F99</f>
        <v>1.6206896551724137</v>
      </c>
      <c r="G25" s="114">
        <f>Model!G99</f>
        <v>1.588235294117647</v>
      </c>
      <c r="H25" s="130">
        <f>CHOOSE($C$3,H52,H79,H106)</f>
        <v>1</v>
      </c>
      <c r="I25" s="131">
        <f>CHOOSE($C$3,I52,I79,I106)</f>
        <v>1</v>
      </c>
      <c r="J25" s="131">
        <f>CHOOSE($C$3,J52,J79,J106)</f>
        <v>1</v>
      </c>
      <c r="K25" s="131">
        <f>CHOOSE($C$3,K52,K79,K106)</f>
        <v>1</v>
      </c>
      <c r="L25" s="132">
        <f>CHOOSE($C$3,L52,L79,L106)</f>
        <v>1</v>
      </c>
    </row>
    <row r="26" spans="1:12" x14ac:dyDescent="0.2">
      <c r="A26" s="54" t="s">
        <v>157</v>
      </c>
      <c r="B26" s="24" t="s">
        <v>136</v>
      </c>
      <c r="C26" s="113"/>
      <c r="D26" s="113"/>
      <c r="E26" s="114">
        <f>Model!E100</f>
        <v>7.6673866090712736E-2</v>
      </c>
      <c r="F26" s="114">
        <f>Model!F100</f>
        <v>0.13462783171521037</v>
      </c>
      <c r="G26" s="114">
        <f>Model!G100</f>
        <v>8.6185044359949309E-2</v>
      </c>
      <c r="H26" s="130">
        <f>CHOOSE($C$3,H53,H80,H107)</f>
        <v>7.0000000000000007E-2</v>
      </c>
      <c r="I26" s="131">
        <f>CHOOSE($C$3,I53,I80,I107)</f>
        <v>7.0000000000000007E-2</v>
      </c>
      <c r="J26" s="131">
        <f>CHOOSE($C$3,J53,J80,J107)</f>
        <v>7.0000000000000007E-2</v>
      </c>
      <c r="K26" s="131">
        <f>CHOOSE($C$3,K53,K80,K107)</f>
        <v>7.0000000000000007E-2</v>
      </c>
      <c r="L26" s="132">
        <f>CHOOSE($C$3,L53,L80,L107)</f>
        <v>7.0000000000000007E-2</v>
      </c>
    </row>
    <row r="27" spans="1:12" x14ac:dyDescent="0.2">
      <c r="A27" s="54" t="s">
        <v>158</v>
      </c>
      <c r="B27" s="24" t="s">
        <v>136</v>
      </c>
      <c r="C27" s="113"/>
      <c r="D27" s="113"/>
      <c r="E27" s="114">
        <f>Model!E101</f>
        <v>0.12006578947368421</v>
      </c>
      <c r="F27" s="114">
        <f>Model!F101</f>
        <v>0.10037878787878787</v>
      </c>
      <c r="G27" s="114">
        <f>Model!G101</f>
        <v>9.5667870036101083E-2</v>
      </c>
      <c r="H27" s="130">
        <f>CHOOSE($C$3,H54,H81,H108)</f>
        <v>0.09</v>
      </c>
      <c r="I27" s="131">
        <f>CHOOSE($C$3,I54,I81,I108)</f>
        <v>0.09</v>
      </c>
      <c r="J27" s="131">
        <f>CHOOSE($C$3,J54,J81,J108)</f>
        <v>0.09</v>
      </c>
      <c r="K27" s="131">
        <f>CHOOSE($C$3,K54,K81,K108)</f>
        <v>0.09</v>
      </c>
      <c r="L27" s="132">
        <f>CHOOSE($C$3,L54,L81,L108)</f>
        <v>0.09</v>
      </c>
    </row>
    <row r="28" spans="1:12" x14ac:dyDescent="0.2">
      <c r="A28" s="54" t="s">
        <v>159</v>
      </c>
      <c r="B28" s="24" t="s">
        <v>160</v>
      </c>
      <c r="C28" s="117"/>
      <c r="D28" s="118">
        <f>Model!D74</f>
        <v>128</v>
      </c>
      <c r="E28" s="118">
        <f>Model!E74</f>
        <v>-91</v>
      </c>
      <c r="F28" s="118">
        <f>Model!F74</f>
        <v>-5</v>
      </c>
      <c r="G28" s="118">
        <f>Model!G74</f>
        <v>-24</v>
      </c>
      <c r="H28" s="136">
        <f>CHOOSE($C$3,H55,H82,H109)</f>
        <v>0</v>
      </c>
      <c r="I28" s="137">
        <f>CHOOSE($C$3,I55,I82,I109)</f>
        <v>0</v>
      </c>
      <c r="J28" s="137">
        <f>CHOOSE($C$3,J55,J82,J109)</f>
        <v>0</v>
      </c>
      <c r="K28" s="137">
        <f>CHOOSE($C$3,K55,K82,K109)</f>
        <v>0</v>
      </c>
      <c r="L28" s="138">
        <f>CHOOSE($C$3,L55,L82,L109)</f>
        <v>0</v>
      </c>
    </row>
    <row r="29" spans="1:12" x14ac:dyDescent="0.2">
      <c r="A29" s="111" t="s">
        <v>161</v>
      </c>
      <c r="B29" s="51" t="s">
        <v>136</v>
      </c>
      <c r="C29" s="119"/>
      <c r="D29" s="119"/>
      <c r="E29" s="119"/>
      <c r="F29" s="119"/>
      <c r="G29" s="119"/>
      <c r="H29" s="139">
        <f>CHOOSE($C$3,H56,H83,H110)</f>
        <v>0.06</v>
      </c>
      <c r="I29" s="140"/>
      <c r="J29" s="140"/>
      <c r="K29" s="140"/>
      <c r="L29" s="141"/>
    </row>
    <row r="32" spans="1:12" x14ac:dyDescent="0.2">
      <c r="A32" s="160" t="s">
        <v>162</v>
      </c>
      <c r="B32" s="161"/>
      <c r="C32" s="161"/>
      <c r="D32" s="161"/>
      <c r="E32" s="161"/>
      <c r="F32" s="161"/>
      <c r="G32" s="161"/>
      <c r="H32" s="161"/>
      <c r="I32" s="161"/>
      <c r="J32" s="161"/>
      <c r="K32" s="161"/>
      <c r="L32" s="162"/>
    </row>
    <row r="33" spans="1:12" x14ac:dyDescent="0.2">
      <c r="A33" s="168" t="s">
        <v>129</v>
      </c>
      <c r="B33" s="169" t="s">
        <v>130</v>
      </c>
      <c r="C33" s="170" t="s">
        <v>115</v>
      </c>
      <c r="D33" s="170" t="s">
        <v>116</v>
      </c>
      <c r="E33" s="170" t="s">
        <v>117</v>
      </c>
      <c r="F33" s="170" t="s">
        <v>118</v>
      </c>
      <c r="G33" s="170" t="s">
        <v>119</v>
      </c>
      <c r="H33" s="171" t="s">
        <v>131</v>
      </c>
      <c r="I33" s="170" t="s">
        <v>132</v>
      </c>
      <c r="J33" s="170" t="s">
        <v>133</v>
      </c>
      <c r="K33" s="170" t="s">
        <v>134</v>
      </c>
      <c r="L33" s="172" t="s">
        <v>135</v>
      </c>
    </row>
    <row r="34" spans="1:12" x14ac:dyDescent="0.2">
      <c r="A34" s="54" t="s">
        <v>83</v>
      </c>
      <c r="B34" s="24" t="s">
        <v>136</v>
      </c>
      <c r="C34" s="107"/>
      <c r="D34" s="107"/>
      <c r="E34" s="107"/>
      <c r="F34" s="107"/>
      <c r="G34" s="107"/>
      <c r="H34" s="120">
        <v>0.05</v>
      </c>
      <c r="I34" s="123">
        <v>0.05</v>
      </c>
      <c r="J34" s="123">
        <v>0.05</v>
      </c>
      <c r="K34" s="123">
        <v>4.4999999999999998E-2</v>
      </c>
      <c r="L34" s="127">
        <v>0.04</v>
      </c>
    </row>
    <row r="35" spans="1:12" x14ac:dyDescent="0.2">
      <c r="A35" s="54" t="s">
        <v>137</v>
      </c>
      <c r="B35" s="24" t="s">
        <v>136</v>
      </c>
      <c r="C35" s="107"/>
      <c r="D35" s="107"/>
      <c r="E35" s="107"/>
      <c r="F35" s="107"/>
      <c r="G35" s="107"/>
      <c r="H35" s="120">
        <v>0.01</v>
      </c>
      <c r="I35" s="123">
        <v>0.02</v>
      </c>
      <c r="J35" s="123">
        <v>2.5000000000000001E-2</v>
      </c>
      <c r="K35" s="123">
        <v>2.5000000000000001E-2</v>
      </c>
      <c r="L35" s="127">
        <v>2.5000000000000001E-2</v>
      </c>
    </row>
    <row r="36" spans="1:12" x14ac:dyDescent="0.2">
      <c r="A36" s="54" t="s">
        <v>84</v>
      </c>
      <c r="B36" s="24" t="s">
        <v>136</v>
      </c>
      <c r="C36" s="107"/>
      <c r="D36" s="107"/>
      <c r="E36" s="107"/>
      <c r="F36" s="107"/>
      <c r="G36" s="107"/>
      <c r="H36" s="120">
        <v>0.1</v>
      </c>
      <c r="I36" s="123">
        <v>0.09</v>
      </c>
      <c r="J36" s="123">
        <v>0.08</v>
      </c>
      <c r="K36" s="123">
        <v>0.08</v>
      </c>
      <c r="L36" s="127">
        <v>7.0000000000000007E-2</v>
      </c>
    </row>
    <row r="37" spans="1:12" x14ac:dyDescent="0.2">
      <c r="A37" s="54" t="s">
        <v>138</v>
      </c>
      <c r="B37" s="24" t="s">
        <v>136</v>
      </c>
      <c r="C37" s="107"/>
      <c r="D37" s="107"/>
      <c r="E37" s="107"/>
      <c r="F37" s="107"/>
      <c r="G37" s="107"/>
      <c r="H37" s="120">
        <v>-0.03</v>
      </c>
      <c r="I37" s="123">
        <v>-0.03</v>
      </c>
      <c r="J37" s="123">
        <v>-0.03</v>
      </c>
      <c r="K37" s="123">
        <v>-0.03</v>
      </c>
      <c r="L37" s="127">
        <v>-0.03</v>
      </c>
    </row>
    <row r="38" spans="1:12" x14ac:dyDescent="0.2">
      <c r="A38" s="54" t="s">
        <v>139</v>
      </c>
      <c r="B38" s="24" t="s">
        <v>140</v>
      </c>
      <c r="C38" s="107"/>
      <c r="D38" s="107"/>
      <c r="E38" s="107"/>
      <c r="F38" s="107"/>
      <c r="G38" s="107"/>
      <c r="H38" s="120">
        <v>0.55500000000000005</v>
      </c>
      <c r="I38" s="123">
        <v>0.54500000000000004</v>
      </c>
      <c r="J38" s="123">
        <v>0.54</v>
      </c>
      <c r="K38" s="123">
        <v>0.54</v>
      </c>
      <c r="L38" s="127">
        <v>0.54</v>
      </c>
    </row>
    <row r="39" spans="1:12" x14ac:dyDescent="0.2">
      <c r="A39" s="54" t="s">
        <v>141</v>
      </c>
      <c r="B39" s="24" t="s">
        <v>140</v>
      </c>
      <c r="C39" s="107"/>
      <c r="D39" s="107"/>
      <c r="E39" s="107"/>
      <c r="F39" s="107"/>
      <c r="G39" s="107"/>
      <c r="H39" s="120">
        <v>0.108</v>
      </c>
      <c r="I39" s="123">
        <v>0.108</v>
      </c>
      <c r="J39" s="123">
        <v>0.108</v>
      </c>
      <c r="K39" s="123">
        <v>0.108</v>
      </c>
      <c r="L39" s="127">
        <v>0.108</v>
      </c>
    </row>
    <row r="40" spans="1:12" x14ac:dyDescent="0.2">
      <c r="A40" s="54" t="s">
        <v>142</v>
      </c>
      <c r="B40" s="24" t="s">
        <v>140</v>
      </c>
      <c r="C40" s="107"/>
      <c r="D40" s="107"/>
      <c r="E40" s="107"/>
      <c r="F40" s="107"/>
      <c r="G40" s="107"/>
      <c r="H40" s="120">
        <v>7.0000000000000007E-2</v>
      </c>
      <c r="I40" s="123">
        <v>7.0000000000000007E-2</v>
      </c>
      <c r="J40" s="123">
        <v>7.0000000000000007E-2</v>
      </c>
      <c r="K40" s="123">
        <v>7.0000000000000007E-2</v>
      </c>
      <c r="L40" s="127">
        <v>7.0000000000000007E-2</v>
      </c>
    </row>
    <row r="41" spans="1:12" x14ac:dyDescent="0.2">
      <c r="A41" s="54" t="s">
        <v>9</v>
      </c>
      <c r="B41" s="24" t="s">
        <v>140</v>
      </c>
      <c r="C41" s="107"/>
      <c r="D41" s="107"/>
      <c r="E41" s="107"/>
      <c r="F41" s="107"/>
      <c r="G41" s="107"/>
      <c r="H41" s="120">
        <v>0.11600000000000001</v>
      </c>
      <c r="I41" s="123">
        <v>0.11600000000000001</v>
      </c>
      <c r="J41" s="123">
        <v>0.11600000000000001</v>
      </c>
      <c r="K41" s="123">
        <v>0.11600000000000001</v>
      </c>
      <c r="L41" s="127">
        <v>0.11600000000000001</v>
      </c>
    </row>
    <row r="42" spans="1:12" x14ac:dyDescent="0.2">
      <c r="A42" s="54" t="s">
        <v>7</v>
      </c>
      <c r="B42" s="24" t="s">
        <v>140</v>
      </c>
      <c r="C42" s="107"/>
      <c r="D42" s="107"/>
      <c r="E42" s="107"/>
      <c r="F42" s="107"/>
      <c r="G42" s="107"/>
      <c r="H42" s="120">
        <v>1.55E-2</v>
      </c>
      <c r="I42" s="123">
        <v>1.55E-2</v>
      </c>
      <c r="J42" s="123">
        <v>1.55E-2</v>
      </c>
      <c r="K42" s="123">
        <v>1.55E-2</v>
      </c>
      <c r="L42" s="127">
        <v>1.55E-2</v>
      </c>
    </row>
    <row r="43" spans="1:12" x14ac:dyDescent="0.2">
      <c r="A43" s="54" t="s">
        <v>143</v>
      </c>
      <c r="B43" s="24" t="s">
        <v>140</v>
      </c>
      <c r="C43" s="107"/>
      <c r="D43" s="107"/>
      <c r="E43" s="107"/>
      <c r="F43" s="107"/>
      <c r="G43" s="107"/>
      <c r="H43" s="120">
        <v>2.5000000000000001E-2</v>
      </c>
      <c r="I43" s="123">
        <v>2.5000000000000001E-2</v>
      </c>
      <c r="J43" s="123">
        <v>2.5000000000000001E-2</v>
      </c>
      <c r="K43" s="123">
        <v>2.5000000000000001E-2</v>
      </c>
      <c r="L43" s="127">
        <v>2.5000000000000001E-2</v>
      </c>
    </row>
    <row r="44" spans="1:12" x14ac:dyDescent="0.2">
      <c r="A44" s="54" t="s">
        <v>144</v>
      </c>
      <c r="B44" s="24" t="s">
        <v>145</v>
      </c>
      <c r="C44" s="108"/>
      <c r="D44" s="108"/>
      <c r="E44" s="108"/>
      <c r="F44" s="108"/>
      <c r="G44" s="108"/>
      <c r="H44" s="121">
        <v>40</v>
      </c>
      <c r="I44" s="124">
        <v>40</v>
      </c>
      <c r="J44" s="124">
        <v>40</v>
      </c>
      <c r="K44" s="124">
        <v>40</v>
      </c>
      <c r="L44" s="128">
        <v>40</v>
      </c>
    </row>
    <row r="45" spans="1:12" x14ac:dyDescent="0.2">
      <c r="A45" s="54" t="s">
        <v>146</v>
      </c>
      <c r="B45" s="24" t="s">
        <v>147</v>
      </c>
      <c r="C45" s="108"/>
      <c r="D45" s="108"/>
      <c r="E45" s="108"/>
      <c r="F45" s="108"/>
      <c r="G45" s="108"/>
      <c r="H45" s="121">
        <v>85</v>
      </c>
      <c r="I45" s="124">
        <v>85</v>
      </c>
      <c r="J45" s="124">
        <v>85</v>
      </c>
      <c r="K45" s="124">
        <v>85</v>
      </c>
      <c r="L45" s="128">
        <v>85</v>
      </c>
    </row>
    <row r="46" spans="1:12" x14ac:dyDescent="0.2">
      <c r="A46" s="54" t="s">
        <v>148</v>
      </c>
      <c r="B46" s="24" t="s">
        <v>147</v>
      </c>
      <c r="C46" s="108"/>
      <c r="D46" s="108"/>
      <c r="E46" s="108"/>
      <c r="F46" s="108"/>
      <c r="G46" s="108"/>
      <c r="H46" s="121">
        <v>75</v>
      </c>
      <c r="I46" s="124">
        <v>75</v>
      </c>
      <c r="J46" s="124">
        <v>75</v>
      </c>
      <c r="K46" s="124">
        <v>75</v>
      </c>
      <c r="L46" s="128">
        <v>75</v>
      </c>
    </row>
    <row r="47" spans="1:12" x14ac:dyDescent="0.2">
      <c r="A47" s="54" t="s">
        <v>149</v>
      </c>
      <c r="B47" s="24" t="s">
        <v>140</v>
      </c>
      <c r="C47" s="107"/>
      <c r="D47" s="107"/>
      <c r="E47" s="107"/>
      <c r="F47" s="107"/>
      <c r="G47" s="107"/>
      <c r="H47" s="120">
        <v>0.04</v>
      </c>
      <c r="I47" s="123">
        <v>0.04</v>
      </c>
      <c r="J47" s="123">
        <v>0.04</v>
      </c>
      <c r="K47" s="123">
        <v>0.04</v>
      </c>
      <c r="L47" s="127">
        <v>0.04</v>
      </c>
    </row>
    <row r="48" spans="1:12" x14ac:dyDescent="0.2">
      <c r="A48" s="54" t="s">
        <v>50</v>
      </c>
      <c r="B48" s="24" t="s">
        <v>140</v>
      </c>
      <c r="C48" s="107"/>
      <c r="D48" s="107"/>
      <c r="E48" s="107"/>
      <c r="F48" s="107"/>
      <c r="G48" s="107"/>
      <c r="H48" s="120">
        <v>5.5E-2</v>
      </c>
      <c r="I48" s="123">
        <v>5.5E-2</v>
      </c>
      <c r="J48" s="123">
        <v>5.5E-2</v>
      </c>
      <c r="K48" s="123">
        <v>5.5E-2</v>
      </c>
      <c r="L48" s="127">
        <v>5.5E-2</v>
      </c>
    </row>
    <row r="49" spans="1:12" x14ac:dyDescent="0.2">
      <c r="A49" s="54" t="s">
        <v>150</v>
      </c>
      <c r="B49" s="24" t="s">
        <v>151</v>
      </c>
      <c r="C49" s="107"/>
      <c r="D49" s="107"/>
      <c r="E49" s="107"/>
      <c r="F49" s="107"/>
      <c r="G49" s="107"/>
      <c r="H49" s="120">
        <v>0.24</v>
      </c>
      <c r="I49" s="123">
        <v>0.24</v>
      </c>
      <c r="J49" s="123">
        <v>0.24</v>
      </c>
      <c r="K49" s="123">
        <v>0.24</v>
      </c>
      <c r="L49" s="127">
        <v>0.24</v>
      </c>
    </row>
    <row r="50" spans="1:12" x14ac:dyDescent="0.2">
      <c r="A50" s="54" t="s">
        <v>152</v>
      </c>
      <c r="B50" s="24" t="s">
        <v>153</v>
      </c>
      <c r="C50" s="107"/>
      <c r="D50" s="107"/>
      <c r="E50" s="107"/>
      <c r="F50" s="107"/>
      <c r="G50" s="107"/>
      <c r="H50" s="120">
        <v>2.5000000000000001E-2</v>
      </c>
      <c r="I50" s="123">
        <v>2.5000000000000001E-2</v>
      </c>
      <c r="J50" s="123">
        <v>2.5000000000000001E-2</v>
      </c>
      <c r="K50" s="123">
        <v>2.5000000000000001E-2</v>
      </c>
      <c r="L50" s="127">
        <v>2.5000000000000001E-2</v>
      </c>
    </row>
    <row r="51" spans="1:12" x14ac:dyDescent="0.2">
      <c r="A51" s="54" t="s">
        <v>154</v>
      </c>
      <c r="B51" s="24" t="s">
        <v>153</v>
      </c>
      <c r="C51" s="107"/>
      <c r="D51" s="107"/>
      <c r="E51" s="107"/>
      <c r="F51" s="107"/>
      <c r="G51" s="107"/>
      <c r="H51" s="120">
        <v>0.8</v>
      </c>
      <c r="I51" s="123">
        <v>0.8</v>
      </c>
      <c r="J51" s="123">
        <v>0.8</v>
      </c>
      <c r="K51" s="123">
        <v>0.8</v>
      </c>
      <c r="L51" s="127">
        <v>0.8</v>
      </c>
    </row>
    <row r="52" spans="1:12" x14ac:dyDescent="0.2">
      <c r="A52" s="54" t="s">
        <v>155</v>
      </c>
      <c r="B52" s="24" t="s">
        <v>156</v>
      </c>
      <c r="C52" s="107"/>
      <c r="D52" s="107"/>
      <c r="E52" s="107"/>
      <c r="F52" s="107"/>
      <c r="G52" s="107"/>
      <c r="H52" s="120">
        <v>1</v>
      </c>
      <c r="I52" s="123">
        <v>1</v>
      </c>
      <c r="J52" s="123">
        <v>1</v>
      </c>
      <c r="K52" s="123">
        <v>1</v>
      </c>
      <c r="L52" s="127">
        <v>1</v>
      </c>
    </row>
    <row r="53" spans="1:12" x14ac:dyDescent="0.2">
      <c r="A53" s="54" t="s">
        <v>157</v>
      </c>
      <c r="B53" s="24" t="s">
        <v>136</v>
      </c>
      <c r="C53" s="107"/>
      <c r="D53" s="107"/>
      <c r="E53" s="107"/>
      <c r="F53" s="107"/>
      <c r="G53" s="107"/>
      <c r="H53" s="120">
        <v>6.5000000000000002E-2</v>
      </c>
      <c r="I53" s="123">
        <v>6.5000000000000002E-2</v>
      </c>
      <c r="J53" s="123">
        <v>6.5000000000000002E-2</v>
      </c>
      <c r="K53" s="123">
        <v>6.5000000000000002E-2</v>
      </c>
      <c r="L53" s="127">
        <v>6.5000000000000002E-2</v>
      </c>
    </row>
    <row r="54" spans="1:12" x14ac:dyDescent="0.2">
      <c r="A54" s="54" t="s">
        <v>158</v>
      </c>
      <c r="B54" s="24" t="s">
        <v>136</v>
      </c>
      <c r="C54" s="107"/>
      <c r="D54" s="107"/>
      <c r="E54" s="107"/>
      <c r="F54" s="107"/>
      <c r="G54" s="107"/>
      <c r="H54" s="120">
        <v>9.5000000000000001E-2</v>
      </c>
      <c r="I54" s="123">
        <v>9.5000000000000001E-2</v>
      </c>
      <c r="J54" s="123">
        <v>9.5000000000000001E-2</v>
      </c>
      <c r="K54" s="123">
        <v>9.5000000000000001E-2</v>
      </c>
      <c r="L54" s="127">
        <v>9.5000000000000001E-2</v>
      </c>
    </row>
    <row r="55" spans="1:12" x14ac:dyDescent="0.2">
      <c r="A55" s="54" t="s">
        <v>159</v>
      </c>
      <c r="B55" s="24" t="s">
        <v>160</v>
      </c>
      <c r="C55" s="109"/>
      <c r="D55" s="109"/>
      <c r="E55" s="109"/>
      <c r="F55" s="109"/>
      <c r="G55" s="109"/>
      <c r="H55" s="122">
        <v>0</v>
      </c>
      <c r="I55" s="125">
        <v>0</v>
      </c>
      <c r="J55" s="125">
        <v>0</v>
      </c>
      <c r="K55" s="125">
        <v>0</v>
      </c>
      <c r="L55" s="129">
        <v>0</v>
      </c>
    </row>
    <row r="56" spans="1:12" x14ac:dyDescent="0.2">
      <c r="A56" s="111" t="s">
        <v>161</v>
      </c>
      <c r="B56" s="51" t="s">
        <v>136</v>
      </c>
      <c r="C56" s="110"/>
      <c r="D56" s="110"/>
      <c r="E56" s="110"/>
      <c r="F56" s="110"/>
      <c r="G56" s="110"/>
      <c r="H56" s="126">
        <v>0.05</v>
      </c>
      <c r="I56" s="110"/>
      <c r="J56" s="110"/>
      <c r="K56" s="110"/>
      <c r="L56" s="112"/>
    </row>
    <row r="59" spans="1:12" x14ac:dyDescent="0.2">
      <c r="A59" s="160" t="s">
        <v>163</v>
      </c>
      <c r="B59" s="161"/>
      <c r="C59" s="161"/>
      <c r="D59" s="161"/>
      <c r="E59" s="161"/>
      <c r="F59" s="161"/>
      <c r="G59" s="161"/>
      <c r="H59" s="161"/>
      <c r="I59" s="161"/>
      <c r="J59" s="161"/>
      <c r="K59" s="161"/>
      <c r="L59" s="162"/>
    </row>
    <row r="60" spans="1:12" x14ac:dyDescent="0.2">
      <c r="A60" s="168" t="s">
        <v>129</v>
      </c>
      <c r="B60" s="169" t="s">
        <v>130</v>
      </c>
      <c r="C60" s="170" t="s">
        <v>115</v>
      </c>
      <c r="D60" s="170" t="s">
        <v>116</v>
      </c>
      <c r="E60" s="170" t="s">
        <v>117</v>
      </c>
      <c r="F60" s="170" t="s">
        <v>118</v>
      </c>
      <c r="G60" s="170" t="s">
        <v>119</v>
      </c>
      <c r="H60" s="171" t="s">
        <v>131</v>
      </c>
      <c r="I60" s="170" t="s">
        <v>132</v>
      </c>
      <c r="J60" s="170" t="s">
        <v>133</v>
      </c>
      <c r="K60" s="170" t="s">
        <v>134</v>
      </c>
      <c r="L60" s="172" t="s">
        <v>135</v>
      </c>
    </row>
    <row r="61" spans="1:12" x14ac:dyDescent="0.2">
      <c r="A61" s="54" t="s">
        <v>83</v>
      </c>
      <c r="B61" s="24" t="s">
        <v>136</v>
      </c>
      <c r="C61" s="107"/>
      <c r="D61" s="107"/>
      <c r="E61" s="107"/>
      <c r="F61" s="107"/>
      <c r="G61" s="107"/>
      <c r="H61" s="120">
        <v>0.08</v>
      </c>
      <c r="I61" s="123">
        <v>7.0000000000000007E-2</v>
      </c>
      <c r="J61" s="123">
        <v>7.0000000000000007E-2</v>
      </c>
      <c r="K61" s="123">
        <v>6.5000000000000002E-2</v>
      </c>
      <c r="L61" s="127">
        <v>0.06</v>
      </c>
    </row>
    <row r="62" spans="1:12" x14ac:dyDescent="0.2">
      <c r="A62" s="54" t="s">
        <v>137</v>
      </c>
      <c r="B62" s="24" t="s">
        <v>136</v>
      </c>
      <c r="C62" s="107"/>
      <c r="D62" s="107"/>
      <c r="E62" s="107"/>
      <c r="F62" s="107"/>
      <c r="G62" s="107"/>
      <c r="H62" s="120">
        <v>0.03</v>
      </c>
      <c r="I62" s="123">
        <v>0.03</v>
      </c>
      <c r="J62" s="123">
        <v>3.5000000000000003E-2</v>
      </c>
      <c r="K62" s="123">
        <v>3.5000000000000003E-2</v>
      </c>
      <c r="L62" s="127">
        <v>3.5000000000000003E-2</v>
      </c>
    </row>
    <row r="63" spans="1:12" x14ac:dyDescent="0.2">
      <c r="A63" s="54" t="s">
        <v>84</v>
      </c>
      <c r="B63" s="24" t="s">
        <v>136</v>
      </c>
      <c r="C63" s="107"/>
      <c r="D63" s="107"/>
      <c r="E63" s="107"/>
      <c r="F63" s="107"/>
      <c r="G63" s="107"/>
      <c r="H63" s="120">
        <v>0.15</v>
      </c>
      <c r="I63" s="123">
        <v>0.13</v>
      </c>
      <c r="J63" s="123">
        <v>0.12</v>
      </c>
      <c r="K63" s="123">
        <v>0.11</v>
      </c>
      <c r="L63" s="127">
        <v>0.1</v>
      </c>
    </row>
    <row r="64" spans="1:12" x14ac:dyDescent="0.2">
      <c r="A64" s="54" t="s">
        <v>138</v>
      </c>
      <c r="B64" s="24" t="s">
        <v>136</v>
      </c>
      <c r="C64" s="107"/>
      <c r="D64" s="107"/>
      <c r="E64" s="107"/>
      <c r="F64" s="107"/>
      <c r="G64" s="107"/>
      <c r="H64" s="120">
        <v>-0.01</v>
      </c>
      <c r="I64" s="123">
        <v>-0.01</v>
      </c>
      <c r="J64" s="123">
        <v>-0.01</v>
      </c>
      <c r="K64" s="123">
        <v>-0.01</v>
      </c>
      <c r="L64" s="127">
        <v>-0.01</v>
      </c>
    </row>
    <row r="65" spans="1:12" x14ac:dyDescent="0.2">
      <c r="A65" s="54" t="s">
        <v>139</v>
      </c>
      <c r="B65" s="24" t="s">
        <v>140</v>
      </c>
      <c r="C65" s="107"/>
      <c r="D65" s="107"/>
      <c r="E65" s="107"/>
      <c r="F65" s="107"/>
      <c r="G65" s="107"/>
      <c r="H65" s="120">
        <v>0.53500000000000003</v>
      </c>
      <c r="I65" s="123">
        <v>0.52500000000000002</v>
      </c>
      <c r="J65" s="123">
        <v>0.52</v>
      </c>
      <c r="K65" s="123">
        <v>0.52</v>
      </c>
      <c r="L65" s="127">
        <v>0.52</v>
      </c>
    </row>
    <row r="66" spans="1:12" x14ac:dyDescent="0.2">
      <c r="A66" s="54" t="s">
        <v>141</v>
      </c>
      <c r="B66" s="24" t="s">
        <v>140</v>
      </c>
      <c r="C66" s="107"/>
      <c r="D66" s="107"/>
      <c r="E66" s="107"/>
      <c r="F66" s="107"/>
      <c r="G66" s="107"/>
      <c r="H66" s="120">
        <v>0.10299999999999999</v>
      </c>
      <c r="I66" s="123">
        <v>0.10299999999999999</v>
      </c>
      <c r="J66" s="123">
        <v>0.10299999999999999</v>
      </c>
      <c r="K66" s="123">
        <v>0.10299999999999999</v>
      </c>
      <c r="L66" s="127">
        <v>0.10299999999999999</v>
      </c>
    </row>
    <row r="67" spans="1:12" x14ac:dyDescent="0.2">
      <c r="A67" s="54" t="s">
        <v>142</v>
      </c>
      <c r="B67" s="24" t="s">
        <v>140</v>
      </c>
      <c r="C67" s="107"/>
      <c r="D67" s="107"/>
      <c r="E67" s="107"/>
      <c r="F67" s="107"/>
      <c r="G67" s="107"/>
      <c r="H67" s="120">
        <v>6.8000000000000005E-2</v>
      </c>
      <c r="I67" s="123">
        <v>6.8000000000000005E-2</v>
      </c>
      <c r="J67" s="123">
        <v>6.8000000000000005E-2</v>
      </c>
      <c r="K67" s="123">
        <v>6.8000000000000005E-2</v>
      </c>
      <c r="L67" s="127">
        <v>6.8000000000000005E-2</v>
      </c>
    </row>
    <row r="68" spans="1:12" x14ac:dyDescent="0.2">
      <c r="A68" s="54" t="s">
        <v>9</v>
      </c>
      <c r="B68" s="24" t="s">
        <v>140</v>
      </c>
      <c r="C68" s="107"/>
      <c r="D68" s="107"/>
      <c r="E68" s="107"/>
      <c r="F68" s="107"/>
      <c r="G68" s="107"/>
      <c r="H68" s="120">
        <v>0.113</v>
      </c>
      <c r="I68" s="123">
        <v>0.113</v>
      </c>
      <c r="J68" s="123">
        <v>0.113</v>
      </c>
      <c r="K68" s="123">
        <v>0.113</v>
      </c>
      <c r="L68" s="127">
        <v>0.113</v>
      </c>
    </row>
    <row r="69" spans="1:12" x14ac:dyDescent="0.2">
      <c r="A69" s="54" t="s">
        <v>7</v>
      </c>
      <c r="B69" s="24" t="s">
        <v>140</v>
      </c>
      <c r="C69" s="107"/>
      <c r="D69" s="107"/>
      <c r="E69" s="107"/>
      <c r="F69" s="107"/>
      <c r="G69" s="107"/>
      <c r="H69" s="120">
        <v>1.55E-2</v>
      </c>
      <c r="I69" s="123">
        <v>1.55E-2</v>
      </c>
      <c r="J69" s="123">
        <v>1.55E-2</v>
      </c>
      <c r="K69" s="123">
        <v>1.55E-2</v>
      </c>
      <c r="L69" s="127">
        <v>1.55E-2</v>
      </c>
    </row>
    <row r="70" spans="1:12" x14ac:dyDescent="0.2">
      <c r="A70" s="54" t="s">
        <v>143</v>
      </c>
      <c r="B70" s="24" t="s">
        <v>140</v>
      </c>
      <c r="C70" s="107"/>
      <c r="D70" s="107"/>
      <c r="E70" s="107"/>
      <c r="F70" s="107"/>
      <c r="G70" s="107"/>
      <c r="H70" s="120">
        <v>2.1999999999999999E-2</v>
      </c>
      <c r="I70" s="123">
        <v>2.1999999999999999E-2</v>
      </c>
      <c r="J70" s="123">
        <v>2.1999999999999999E-2</v>
      </c>
      <c r="K70" s="123">
        <v>2.1999999999999999E-2</v>
      </c>
      <c r="L70" s="127">
        <v>2.1999999999999999E-2</v>
      </c>
    </row>
    <row r="71" spans="1:12" x14ac:dyDescent="0.2">
      <c r="A71" s="54" t="s">
        <v>144</v>
      </c>
      <c r="B71" s="24" t="s">
        <v>145</v>
      </c>
      <c r="C71" s="108"/>
      <c r="D71" s="108"/>
      <c r="E71" s="108"/>
      <c r="F71" s="108"/>
      <c r="G71" s="108"/>
      <c r="H71" s="121">
        <v>37</v>
      </c>
      <c r="I71" s="124">
        <v>37</v>
      </c>
      <c r="J71" s="124">
        <v>37</v>
      </c>
      <c r="K71" s="124">
        <v>37</v>
      </c>
      <c r="L71" s="128">
        <v>37</v>
      </c>
    </row>
    <row r="72" spans="1:12" x14ac:dyDescent="0.2">
      <c r="A72" s="54" t="s">
        <v>146</v>
      </c>
      <c r="B72" s="24" t="s">
        <v>147</v>
      </c>
      <c r="C72" s="108"/>
      <c r="D72" s="108"/>
      <c r="E72" s="108"/>
      <c r="F72" s="108"/>
      <c r="G72" s="108"/>
      <c r="H72" s="121">
        <v>80</v>
      </c>
      <c r="I72" s="124">
        <v>80</v>
      </c>
      <c r="J72" s="124">
        <v>80</v>
      </c>
      <c r="K72" s="124">
        <v>80</v>
      </c>
      <c r="L72" s="128">
        <v>80</v>
      </c>
    </row>
    <row r="73" spans="1:12" x14ac:dyDescent="0.2">
      <c r="A73" s="54" t="s">
        <v>148</v>
      </c>
      <c r="B73" s="24" t="s">
        <v>147</v>
      </c>
      <c r="C73" s="108"/>
      <c r="D73" s="108"/>
      <c r="E73" s="108"/>
      <c r="F73" s="108"/>
      <c r="G73" s="108"/>
      <c r="H73" s="121">
        <v>80</v>
      </c>
      <c r="I73" s="124">
        <v>80</v>
      </c>
      <c r="J73" s="124">
        <v>80</v>
      </c>
      <c r="K73" s="124">
        <v>80</v>
      </c>
      <c r="L73" s="128">
        <v>80</v>
      </c>
    </row>
    <row r="74" spans="1:12" x14ac:dyDescent="0.2">
      <c r="A74" s="54" t="s">
        <v>149</v>
      </c>
      <c r="B74" s="24" t="s">
        <v>140</v>
      </c>
      <c r="C74" s="107"/>
      <c r="D74" s="107"/>
      <c r="E74" s="107"/>
      <c r="F74" s="107"/>
      <c r="G74" s="107"/>
      <c r="H74" s="120">
        <v>3.6999999999999998E-2</v>
      </c>
      <c r="I74" s="123">
        <v>3.6999999999999998E-2</v>
      </c>
      <c r="J74" s="123">
        <v>3.6999999999999998E-2</v>
      </c>
      <c r="K74" s="123">
        <v>3.6999999999999998E-2</v>
      </c>
      <c r="L74" s="127">
        <v>3.6999999999999998E-2</v>
      </c>
    </row>
    <row r="75" spans="1:12" x14ac:dyDescent="0.2">
      <c r="A75" s="54" t="s">
        <v>50</v>
      </c>
      <c r="B75" s="24" t="s">
        <v>140</v>
      </c>
      <c r="C75" s="107"/>
      <c r="D75" s="107"/>
      <c r="E75" s="107"/>
      <c r="F75" s="107"/>
      <c r="G75" s="107"/>
      <c r="H75" s="120">
        <v>0.06</v>
      </c>
      <c r="I75" s="123">
        <v>0.06</v>
      </c>
      <c r="J75" s="123">
        <v>0.06</v>
      </c>
      <c r="K75" s="123">
        <v>0.06</v>
      </c>
      <c r="L75" s="127">
        <v>0.06</v>
      </c>
    </row>
    <row r="76" spans="1:12" x14ac:dyDescent="0.2">
      <c r="A76" s="54" t="s">
        <v>150</v>
      </c>
      <c r="B76" s="24" t="s">
        <v>151</v>
      </c>
      <c r="C76" s="107"/>
      <c r="D76" s="107"/>
      <c r="E76" s="107"/>
      <c r="F76" s="107"/>
      <c r="G76" s="107"/>
      <c r="H76" s="120">
        <v>0.23</v>
      </c>
      <c r="I76" s="123">
        <v>0.23</v>
      </c>
      <c r="J76" s="123">
        <v>0.23</v>
      </c>
      <c r="K76" s="123">
        <v>0.23</v>
      </c>
      <c r="L76" s="127">
        <v>0.23</v>
      </c>
    </row>
    <row r="77" spans="1:12" x14ac:dyDescent="0.2">
      <c r="A77" s="54" t="s">
        <v>152</v>
      </c>
      <c r="B77" s="24" t="s">
        <v>153</v>
      </c>
      <c r="C77" s="107"/>
      <c r="D77" s="107"/>
      <c r="E77" s="107"/>
      <c r="F77" s="107"/>
      <c r="G77" s="107"/>
      <c r="H77" s="120">
        <v>2.5000000000000001E-2</v>
      </c>
      <c r="I77" s="123">
        <v>2.5000000000000001E-2</v>
      </c>
      <c r="J77" s="123">
        <v>2.5000000000000001E-2</v>
      </c>
      <c r="K77" s="123">
        <v>2.5000000000000001E-2</v>
      </c>
      <c r="L77" s="127">
        <v>2.5000000000000001E-2</v>
      </c>
    </row>
    <row r="78" spans="1:12" x14ac:dyDescent="0.2">
      <c r="A78" s="54" t="s">
        <v>154</v>
      </c>
      <c r="B78" s="24" t="s">
        <v>153</v>
      </c>
      <c r="C78" s="107"/>
      <c r="D78" s="107"/>
      <c r="E78" s="107"/>
      <c r="F78" s="107"/>
      <c r="G78" s="107"/>
      <c r="H78" s="120">
        <v>0.8</v>
      </c>
      <c r="I78" s="123">
        <v>0.8</v>
      </c>
      <c r="J78" s="123">
        <v>0.8</v>
      </c>
      <c r="K78" s="123">
        <v>0.8</v>
      </c>
      <c r="L78" s="127">
        <v>0.8</v>
      </c>
    </row>
    <row r="79" spans="1:12" x14ac:dyDescent="0.2">
      <c r="A79" s="54" t="s">
        <v>155</v>
      </c>
      <c r="B79" s="24" t="s">
        <v>156</v>
      </c>
      <c r="C79" s="107"/>
      <c r="D79" s="107"/>
      <c r="E79" s="107"/>
      <c r="F79" s="107"/>
      <c r="G79" s="107"/>
      <c r="H79" s="120">
        <v>1</v>
      </c>
      <c r="I79" s="123">
        <v>1</v>
      </c>
      <c r="J79" s="123">
        <v>1</v>
      </c>
      <c r="K79" s="123">
        <v>1</v>
      </c>
      <c r="L79" s="127">
        <v>1</v>
      </c>
    </row>
    <row r="80" spans="1:12" x14ac:dyDescent="0.2">
      <c r="A80" s="54" t="s">
        <v>157</v>
      </c>
      <c r="B80" s="24" t="s">
        <v>136</v>
      </c>
      <c r="C80" s="107"/>
      <c r="D80" s="107"/>
      <c r="E80" s="107"/>
      <c r="F80" s="107"/>
      <c r="G80" s="107"/>
      <c r="H80" s="120">
        <v>7.0000000000000007E-2</v>
      </c>
      <c r="I80" s="123">
        <v>7.0000000000000007E-2</v>
      </c>
      <c r="J80" s="123">
        <v>7.0000000000000007E-2</v>
      </c>
      <c r="K80" s="123">
        <v>7.0000000000000007E-2</v>
      </c>
      <c r="L80" s="127">
        <v>7.0000000000000007E-2</v>
      </c>
    </row>
    <row r="81" spans="1:12" x14ac:dyDescent="0.2">
      <c r="A81" s="54" t="s">
        <v>158</v>
      </c>
      <c r="B81" s="24" t="s">
        <v>136</v>
      </c>
      <c r="C81" s="107"/>
      <c r="D81" s="107"/>
      <c r="E81" s="107"/>
      <c r="F81" s="107"/>
      <c r="G81" s="107"/>
      <c r="H81" s="120">
        <v>0.09</v>
      </c>
      <c r="I81" s="123">
        <v>0.09</v>
      </c>
      <c r="J81" s="123">
        <v>0.09</v>
      </c>
      <c r="K81" s="123">
        <v>0.09</v>
      </c>
      <c r="L81" s="127">
        <v>0.09</v>
      </c>
    </row>
    <row r="82" spans="1:12" x14ac:dyDescent="0.2">
      <c r="A82" s="54" t="s">
        <v>159</v>
      </c>
      <c r="B82" s="24" t="s">
        <v>160</v>
      </c>
      <c r="C82" s="109"/>
      <c r="D82" s="109"/>
      <c r="E82" s="109"/>
      <c r="F82" s="109"/>
      <c r="G82" s="109"/>
      <c r="H82" s="122">
        <v>0</v>
      </c>
      <c r="I82" s="125">
        <v>0</v>
      </c>
      <c r="J82" s="125">
        <v>0</v>
      </c>
      <c r="K82" s="125">
        <v>0</v>
      </c>
      <c r="L82" s="129">
        <v>0</v>
      </c>
    </row>
    <row r="83" spans="1:12" x14ac:dyDescent="0.2">
      <c r="A83" s="111" t="s">
        <v>161</v>
      </c>
      <c r="B83" s="51" t="s">
        <v>136</v>
      </c>
      <c r="C83" s="110"/>
      <c r="D83" s="110"/>
      <c r="E83" s="110"/>
      <c r="F83" s="110"/>
      <c r="G83" s="110"/>
      <c r="H83" s="126">
        <v>0.06</v>
      </c>
      <c r="I83" s="110"/>
      <c r="J83" s="110"/>
      <c r="K83" s="110"/>
      <c r="L83" s="112"/>
    </row>
    <row r="86" spans="1:12" x14ac:dyDescent="0.2">
      <c r="A86" s="160" t="s">
        <v>164</v>
      </c>
      <c r="B86" s="161"/>
      <c r="C86" s="161"/>
      <c r="D86" s="161"/>
      <c r="E86" s="161"/>
      <c r="F86" s="161"/>
      <c r="G86" s="161"/>
      <c r="H86" s="161"/>
      <c r="I86" s="161"/>
      <c r="J86" s="161"/>
      <c r="K86" s="161"/>
      <c r="L86" s="162"/>
    </row>
    <row r="87" spans="1:12" x14ac:dyDescent="0.2">
      <c r="A87" s="168" t="s">
        <v>129</v>
      </c>
      <c r="B87" s="169" t="s">
        <v>130</v>
      </c>
      <c r="C87" s="170" t="s">
        <v>115</v>
      </c>
      <c r="D87" s="170" t="s">
        <v>116</v>
      </c>
      <c r="E87" s="170" t="s">
        <v>117</v>
      </c>
      <c r="F87" s="170" t="s">
        <v>118</v>
      </c>
      <c r="G87" s="170" t="s">
        <v>119</v>
      </c>
      <c r="H87" s="171" t="s">
        <v>131</v>
      </c>
      <c r="I87" s="170" t="s">
        <v>132</v>
      </c>
      <c r="J87" s="170" t="s">
        <v>133</v>
      </c>
      <c r="K87" s="170" t="s">
        <v>134</v>
      </c>
      <c r="L87" s="172" t="s">
        <v>135</v>
      </c>
    </row>
    <row r="88" spans="1:12" x14ac:dyDescent="0.2">
      <c r="A88" s="54" t="s">
        <v>83</v>
      </c>
      <c r="B88" s="24" t="s">
        <v>136</v>
      </c>
      <c r="C88" s="107"/>
      <c r="D88" s="107"/>
      <c r="E88" s="107"/>
      <c r="F88" s="107"/>
      <c r="G88" s="107"/>
      <c r="H88" s="120">
        <v>0.1</v>
      </c>
      <c r="I88" s="123">
        <v>0.09</v>
      </c>
      <c r="J88" s="123">
        <v>0.08</v>
      </c>
      <c r="K88" s="123">
        <v>0.08</v>
      </c>
      <c r="L88" s="127">
        <v>7.0000000000000007E-2</v>
      </c>
    </row>
    <row r="89" spans="1:12" x14ac:dyDescent="0.2">
      <c r="A89" s="54" t="s">
        <v>137</v>
      </c>
      <c r="B89" s="24" t="s">
        <v>136</v>
      </c>
      <c r="C89" s="107"/>
      <c r="D89" s="107"/>
      <c r="E89" s="107"/>
      <c r="F89" s="107"/>
      <c r="G89" s="107"/>
      <c r="H89" s="120">
        <v>0.04</v>
      </c>
      <c r="I89" s="123">
        <v>0.04</v>
      </c>
      <c r="J89" s="123">
        <v>0.04</v>
      </c>
      <c r="K89" s="123">
        <v>0.04</v>
      </c>
      <c r="L89" s="127">
        <v>0.04</v>
      </c>
    </row>
    <row r="90" spans="1:12" x14ac:dyDescent="0.2">
      <c r="A90" s="54" t="s">
        <v>84</v>
      </c>
      <c r="B90" s="24" t="s">
        <v>136</v>
      </c>
      <c r="C90" s="107"/>
      <c r="D90" s="107"/>
      <c r="E90" s="107"/>
      <c r="F90" s="107"/>
      <c r="G90" s="107"/>
      <c r="H90" s="120">
        <v>0.18</v>
      </c>
      <c r="I90" s="123">
        <v>0.16</v>
      </c>
      <c r="J90" s="123">
        <v>0.14000000000000001</v>
      </c>
      <c r="K90" s="123">
        <v>0.13</v>
      </c>
      <c r="L90" s="127">
        <v>0.12</v>
      </c>
    </row>
    <row r="91" spans="1:12" x14ac:dyDescent="0.2">
      <c r="A91" s="54" t="s">
        <v>138</v>
      </c>
      <c r="B91" s="24" t="s">
        <v>136</v>
      </c>
      <c r="C91" s="107"/>
      <c r="D91" s="107"/>
      <c r="E91" s="107"/>
      <c r="F91" s="107"/>
      <c r="G91" s="107"/>
      <c r="H91" s="120">
        <v>0</v>
      </c>
      <c r="I91" s="123">
        <v>0</v>
      </c>
      <c r="J91" s="123">
        <v>0</v>
      </c>
      <c r="K91" s="123">
        <v>0</v>
      </c>
      <c r="L91" s="127">
        <v>0</v>
      </c>
    </row>
    <row r="92" spans="1:12" x14ac:dyDescent="0.2">
      <c r="A92" s="54" t="s">
        <v>139</v>
      </c>
      <c r="B92" s="24" t="s">
        <v>140</v>
      </c>
      <c r="C92" s="107"/>
      <c r="D92" s="107"/>
      <c r="E92" s="107"/>
      <c r="F92" s="107"/>
      <c r="G92" s="107"/>
      <c r="H92" s="120">
        <v>0.52500000000000002</v>
      </c>
      <c r="I92" s="123">
        <v>0.51500000000000001</v>
      </c>
      <c r="J92" s="123">
        <v>0.51</v>
      </c>
      <c r="K92" s="123">
        <v>0.505</v>
      </c>
      <c r="L92" s="127">
        <v>0.505</v>
      </c>
    </row>
    <row r="93" spans="1:12" x14ac:dyDescent="0.2">
      <c r="A93" s="54" t="s">
        <v>141</v>
      </c>
      <c r="B93" s="24" t="s">
        <v>140</v>
      </c>
      <c r="C93" s="107"/>
      <c r="D93" s="107"/>
      <c r="E93" s="107"/>
      <c r="F93" s="107"/>
      <c r="G93" s="107"/>
      <c r="H93" s="120">
        <v>0.1</v>
      </c>
      <c r="I93" s="123">
        <v>0.1</v>
      </c>
      <c r="J93" s="123">
        <v>0.1</v>
      </c>
      <c r="K93" s="123">
        <v>0.1</v>
      </c>
      <c r="L93" s="127">
        <v>0.1</v>
      </c>
    </row>
    <row r="94" spans="1:12" x14ac:dyDescent="0.2">
      <c r="A94" s="54" t="s">
        <v>142</v>
      </c>
      <c r="B94" s="24" t="s">
        <v>140</v>
      </c>
      <c r="C94" s="107"/>
      <c r="D94" s="107"/>
      <c r="E94" s="107"/>
      <c r="F94" s="107"/>
      <c r="G94" s="107"/>
      <c r="H94" s="120">
        <v>6.6000000000000003E-2</v>
      </c>
      <c r="I94" s="123">
        <v>6.6000000000000003E-2</v>
      </c>
      <c r="J94" s="123">
        <v>6.6000000000000003E-2</v>
      </c>
      <c r="K94" s="123">
        <v>6.6000000000000003E-2</v>
      </c>
      <c r="L94" s="127">
        <v>6.6000000000000003E-2</v>
      </c>
    </row>
    <row r="95" spans="1:12" x14ac:dyDescent="0.2">
      <c r="A95" s="54" t="s">
        <v>9</v>
      </c>
      <c r="B95" s="24" t="s">
        <v>140</v>
      </c>
      <c r="C95" s="107"/>
      <c r="D95" s="107"/>
      <c r="E95" s="107"/>
      <c r="F95" s="107"/>
      <c r="G95" s="107"/>
      <c r="H95" s="120">
        <v>0.11</v>
      </c>
      <c r="I95" s="123">
        <v>0.11</v>
      </c>
      <c r="J95" s="123">
        <v>0.11</v>
      </c>
      <c r="K95" s="123">
        <v>0.11</v>
      </c>
      <c r="L95" s="127">
        <v>0.11</v>
      </c>
    </row>
    <row r="96" spans="1:12" x14ac:dyDescent="0.2">
      <c r="A96" s="54" t="s">
        <v>7</v>
      </c>
      <c r="B96" s="24" t="s">
        <v>140</v>
      </c>
      <c r="C96" s="107"/>
      <c r="D96" s="107"/>
      <c r="E96" s="107"/>
      <c r="F96" s="107"/>
      <c r="G96" s="107"/>
      <c r="H96" s="120">
        <v>1.55E-2</v>
      </c>
      <c r="I96" s="123">
        <v>1.55E-2</v>
      </c>
      <c r="J96" s="123">
        <v>1.55E-2</v>
      </c>
      <c r="K96" s="123">
        <v>1.55E-2</v>
      </c>
      <c r="L96" s="127">
        <v>1.55E-2</v>
      </c>
    </row>
    <row r="97" spans="1:12" x14ac:dyDescent="0.2">
      <c r="A97" s="54" t="s">
        <v>143</v>
      </c>
      <c r="B97" s="24" t="s">
        <v>140</v>
      </c>
      <c r="C97" s="107"/>
      <c r="D97" s="107"/>
      <c r="E97" s="107"/>
      <c r="F97" s="107"/>
      <c r="G97" s="107"/>
      <c r="H97" s="120">
        <v>0.02</v>
      </c>
      <c r="I97" s="123">
        <v>0.02</v>
      </c>
      <c r="J97" s="123">
        <v>0.02</v>
      </c>
      <c r="K97" s="123">
        <v>0.02</v>
      </c>
      <c r="L97" s="127">
        <v>0.02</v>
      </c>
    </row>
    <row r="98" spans="1:12" x14ac:dyDescent="0.2">
      <c r="A98" s="54" t="s">
        <v>144</v>
      </c>
      <c r="B98" s="24" t="s">
        <v>145</v>
      </c>
      <c r="C98" s="108"/>
      <c r="D98" s="108"/>
      <c r="E98" s="108"/>
      <c r="F98" s="108"/>
      <c r="G98" s="108"/>
      <c r="H98" s="121">
        <v>35</v>
      </c>
      <c r="I98" s="124">
        <v>35</v>
      </c>
      <c r="J98" s="124">
        <v>35</v>
      </c>
      <c r="K98" s="124">
        <v>35</v>
      </c>
      <c r="L98" s="128">
        <v>35</v>
      </c>
    </row>
    <row r="99" spans="1:12" x14ac:dyDescent="0.2">
      <c r="A99" s="54" t="s">
        <v>146</v>
      </c>
      <c r="B99" s="24" t="s">
        <v>147</v>
      </c>
      <c r="C99" s="108"/>
      <c r="D99" s="108"/>
      <c r="E99" s="108"/>
      <c r="F99" s="108"/>
      <c r="G99" s="108"/>
      <c r="H99" s="121">
        <v>75</v>
      </c>
      <c r="I99" s="124">
        <v>75</v>
      </c>
      <c r="J99" s="124">
        <v>75</v>
      </c>
      <c r="K99" s="124">
        <v>75</v>
      </c>
      <c r="L99" s="128">
        <v>75</v>
      </c>
    </row>
    <row r="100" spans="1:12" x14ac:dyDescent="0.2">
      <c r="A100" s="54" t="s">
        <v>148</v>
      </c>
      <c r="B100" s="24" t="s">
        <v>147</v>
      </c>
      <c r="C100" s="108"/>
      <c r="D100" s="108"/>
      <c r="E100" s="108"/>
      <c r="F100" s="108"/>
      <c r="G100" s="108"/>
      <c r="H100" s="121">
        <v>85</v>
      </c>
      <c r="I100" s="124">
        <v>85</v>
      </c>
      <c r="J100" s="124">
        <v>85</v>
      </c>
      <c r="K100" s="124">
        <v>85</v>
      </c>
      <c r="L100" s="128">
        <v>85</v>
      </c>
    </row>
    <row r="101" spans="1:12" x14ac:dyDescent="0.2">
      <c r="A101" s="54" t="s">
        <v>149</v>
      </c>
      <c r="B101" s="24" t="s">
        <v>140</v>
      </c>
      <c r="C101" s="107"/>
      <c r="D101" s="107"/>
      <c r="E101" s="107"/>
      <c r="F101" s="107"/>
      <c r="G101" s="107"/>
      <c r="H101" s="120">
        <v>3.5000000000000003E-2</v>
      </c>
      <c r="I101" s="123">
        <v>3.5000000000000003E-2</v>
      </c>
      <c r="J101" s="123">
        <v>3.5000000000000003E-2</v>
      </c>
      <c r="K101" s="123">
        <v>3.5000000000000003E-2</v>
      </c>
      <c r="L101" s="127">
        <v>3.5000000000000003E-2</v>
      </c>
    </row>
    <row r="102" spans="1:12" x14ac:dyDescent="0.2">
      <c r="A102" s="54" t="s">
        <v>50</v>
      </c>
      <c r="B102" s="24" t="s">
        <v>140</v>
      </c>
      <c r="C102" s="107"/>
      <c r="D102" s="107"/>
      <c r="E102" s="107"/>
      <c r="F102" s="107"/>
      <c r="G102" s="107"/>
      <c r="H102" s="120">
        <v>6.5000000000000002E-2</v>
      </c>
      <c r="I102" s="123">
        <v>6.5000000000000002E-2</v>
      </c>
      <c r="J102" s="123">
        <v>6.5000000000000002E-2</v>
      </c>
      <c r="K102" s="123">
        <v>6.5000000000000002E-2</v>
      </c>
      <c r="L102" s="127">
        <v>6.5000000000000002E-2</v>
      </c>
    </row>
    <row r="103" spans="1:12" x14ac:dyDescent="0.2">
      <c r="A103" s="54" t="s">
        <v>150</v>
      </c>
      <c r="B103" s="24" t="s">
        <v>151</v>
      </c>
      <c r="C103" s="107"/>
      <c r="D103" s="107"/>
      <c r="E103" s="107"/>
      <c r="F103" s="107"/>
      <c r="G103" s="107"/>
      <c r="H103" s="120">
        <v>0.22500000000000001</v>
      </c>
      <c r="I103" s="123">
        <v>0.22500000000000001</v>
      </c>
      <c r="J103" s="123">
        <v>0.22500000000000001</v>
      </c>
      <c r="K103" s="123">
        <v>0.22500000000000001</v>
      </c>
      <c r="L103" s="127">
        <v>0.22500000000000001</v>
      </c>
    </row>
    <row r="104" spans="1:12" x14ac:dyDescent="0.2">
      <c r="A104" s="54" t="s">
        <v>152</v>
      </c>
      <c r="B104" s="24" t="s">
        <v>153</v>
      </c>
      <c r="C104" s="107"/>
      <c r="D104" s="107"/>
      <c r="E104" s="107"/>
      <c r="F104" s="107"/>
      <c r="G104" s="107"/>
      <c r="H104" s="120">
        <v>2.5000000000000001E-2</v>
      </c>
      <c r="I104" s="123">
        <v>2.5000000000000001E-2</v>
      </c>
      <c r="J104" s="123">
        <v>2.5000000000000001E-2</v>
      </c>
      <c r="K104" s="123">
        <v>2.5000000000000001E-2</v>
      </c>
      <c r="L104" s="127">
        <v>2.5000000000000001E-2</v>
      </c>
    </row>
    <row r="105" spans="1:12" x14ac:dyDescent="0.2">
      <c r="A105" s="54" t="s">
        <v>154</v>
      </c>
      <c r="B105" s="24" t="s">
        <v>153</v>
      </c>
      <c r="C105" s="107"/>
      <c r="D105" s="107"/>
      <c r="E105" s="107"/>
      <c r="F105" s="107"/>
      <c r="G105" s="107"/>
      <c r="H105" s="120">
        <v>0.8</v>
      </c>
      <c r="I105" s="123">
        <v>0.8</v>
      </c>
      <c r="J105" s="123">
        <v>0.8</v>
      </c>
      <c r="K105" s="123">
        <v>0.8</v>
      </c>
      <c r="L105" s="127">
        <v>0.8</v>
      </c>
    </row>
    <row r="106" spans="1:12" x14ac:dyDescent="0.2">
      <c r="A106" s="54" t="s">
        <v>155</v>
      </c>
      <c r="B106" s="24" t="s">
        <v>156</v>
      </c>
      <c r="C106" s="107"/>
      <c r="D106" s="107"/>
      <c r="E106" s="107"/>
      <c r="F106" s="107"/>
      <c r="G106" s="107"/>
      <c r="H106" s="120">
        <v>1</v>
      </c>
      <c r="I106" s="123">
        <v>1</v>
      </c>
      <c r="J106" s="123">
        <v>1</v>
      </c>
      <c r="K106" s="123">
        <v>1</v>
      </c>
      <c r="L106" s="127">
        <v>1</v>
      </c>
    </row>
    <row r="107" spans="1:12" x14ac:dyDescent="0.2">
      <c r="A107" s="54" t="s">
        <v>157</v>
      </c>
      <c r="B107" s="24" t="s">
        <v>136</v>
      </c>
      <c r="C107" s="107"/>
      <c r="D107" s="107"/>
      <c r="E107" s="107"/>
      <c r="F107" s="107"/>
      <c r="G107" s="107"/>
      <c r="H107" s="120">
        <v>7.4999999999999997E-2</v>
      </c>
      <c r="I107" s="123">
        <v>7.4999999999999997E-2</v>
      </c>
      <c r="J107" s="123">
        <v>7.4999999999999997E-2</v>
      </c>
      <c r="K107" s="123">
        <v>7.4999999999999997E-2</v>
      </c>
      <c r="L107" s="127">
        <v>7.4999999999999997E-2</v>
      </c>
    </row>
    <row r="108" spans="1:12" x14ac:dyDescent="0.2">
      <c r="A108" s="54" t="s">
        <v>158</v>
      </c>
      <c r="B108" s="24" t="s">
        <v>136</v>
      </c>
      <c r="C108" s="107"/>
      <c r="D108" s="107"/>
      <c r="E108" s="107"/>
      <c r="F108" s="107"/>
      <c r="G108" s="107"/>
      <c r="H108" s="120">
        <v>8.5000000000000006E-2</v>
      </c>
      <c r="I108" s="123">
        <v>8.5000000000000006E-2</v>
      </c>
      <c r="J108" s="123">
        <v>8.5000000000000006E-2</v>
      </c>
      <c r="K108" s="123">
        <v>8.5000000000000006E-2</v>
      </c>
      <c r="L108" s="127">
        <v>8.5000000000000006E-2</v>
      </c>
    </row>
    <row r="109" spans="1:12" x14ac:dyDescent="0.2">
      <c r="A109" s="54" t="s">
        <v>159</v>
      </c>
      <c r="B109" s="24" t="s">
        <v>160</v>
      </c>
      <c r="C109" s="109"/>
      <c r="D109" s="109"/>
      <c r="E109" s="109"/>
      <c r="F109" s="109"/>
      <c r="G109" s="109"/>
      <c r="H109" s="122">
        <v>0</v>
      </c>
      <c r="I109" s="125">
        <v>0</v>
      </c>
      <c r="J109" s="125">
        <v>0</v>
      </c>
      <c r="K109" s="125">
        <v>0</v>
      </c>
      <c r="L109" s="129">
        <v>0</v>
      </c>
    </row>
    <row r="110" spans="1:12" x14ac:dyDescent="0.2">
      <c r="A110" s="111" t="s">
        <v>161</v>
      </c>
      <c r="B110" s="51" t="s">
        <v>136</v>
      </c>
      <c r="C110" s="110"/>
      <c r="D110" s="110"/>
      <c r="E110" s="110"/>
      <c r="F110" s="110"/>
      <c r="G110" s="110"/>
      <c r="H110" s="126">
        <v>6.5000000000000002E-2</v>
      </c>
      <c r="I110" s="110"/>
      <c r="J110" s="110"/>
      <c r="K110" s="110"/>
      <c r="L110" s="112"/>
    </row>
    <row r="112" spans="1:12" x14ac:dyDescent="0.2">
      <c r="A112" s="159" t="s">
        <v>376</v>
      </c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</row>
    <row r="113" spans="1:1" x14ac:dyDescent="0.2">
      <c r="A113" s="199" t="s">
        <v>377</v>
      </c>
    </row>
    <row r="114" spans="1:1" x14ac:dyDescent="0.2">
      <c r="A114" s="199" t="s">
        <v>378</v>
      </c>
    </row>
    <row r="115" spans="1:1" x14ac:dyDescent="0.2">
      <c r="A115" s="199" t="s">
        <v>379</v>
      </c>
    </row>
    <row r="116" spans="1:1" x14ac:dyDescent="0.2">
      <c r="A116" s="199" t="s">
        <v>380</v>
      </c>
    </row>
    <row r="117" spans="1:1" x14ac:dyDescent="0.2">
      <c r="A117" s="199" t="s">
        <v>381</v>
      </c>
    </row>
    <row r="118" spans="1:1" x14ac:dyDescent="0.2">
      <c r="A118" s="199" t="s">
        <v>382</v>
      </c>
    </row>
    <row r="119" spans="1:1" x14ac:dyDescent="0.2">
      <c r="A119" s="199" t="s">
        <v>383</v>
      </c>
    </row>
    <row r="120" spans="1:1" x14ac:dyDescent="0.2">
      <c r="A120" s="199" t="s">
        <v>384</v>
      </c>
    </row>
  </sheetData>
  <dataValidations count="1">
    <dataValidation type="whole" allowBlank="1" showInputMessage="1" showErrorMessage="1" sqref="C3" xr:uid="{79420BFF-393C-6C4B-ACAF-A62AB483CAB3}">
      <formula1>1</formula1>
      <formula2>3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72240-5312-9F40-8B92-DAF3FD97A303}">
  <sheetPr>
    <tabColor rgb="FF616363"/>
  </sheetPr>
  <dimension ref="A1:Z132"/>
  <sheetViews>
    <sheetView showGridLines="0" workbookViewId="0">
      <pane ySplit="4" topLeftCell="A5" activePane="bottomLeft" state="frozen"/>
      <selection pane="bottomLeft"/>
    </sheetView>
  </sheetViews>
  <sheetFormatPr baseColWidth="10" defaultRowHeight="16" x14ac:dyDescent="0.2"/>
  <cols>
    <col min="1" max="1" width="55" style="1" customWidth="1"/>
    <col min="2" max="2" width="2" style="1" customWidth="1"/>
    <col min="3" max="7" width="10.6640625" style="1" customWidth="1"/>
    <col min="8" max="26" width="10.83203125" style="1"/>
  </cols>
  <sheetData>
    <row r="1" spans="1:7" ht="24" customHeight="1" thickBot="1" x14ac:dyDescent="0.25">
      <c r="A1" s="200" t="s">
        <v>113</v>
      </c>
      <c r="B1" s="198"/>
      <c r="C1" s="198"/>
      <c r="D1" s="198"/>
      <c r="E1" s="198"/>
      <c r="F1" s="198"/>
      <c r="G1" s="198"/>
    </row>
    <row r="2" spans="1:7" x14ac:dyDescent="0.2">
      <c r="A2" s="156" t="s">
        <v>390</v>
      </c>
    </row>
    <row r="4" spans="1:7" x14ac:dyDescent="0.2">
      <c r="A4" s="173" t="s">
        <v>114</v>
      </c>
      <c r="B4" s="173"/>
      <c r="C4" s="174" t="s">
        <v>115</v>
      </c>
      <c r="D4" s="174" t="s">
        <v>116</v>
      </c>
      <c r="E4" s="174" t="s">
        <v>117</v>
      </c>
      <c r="F4" s="174" t="s">
        <v>118</v>
      </c>
      <c r="G4" s="174" t="s">
        <v>119</v>
      </c>
    </row>
    <row r="5" spans="1:7" x14ac:dyDescent="0.2">
      <c r="A5" s="159" t="s">
        <v>120</v>
      </c>
      <c r="B5" s="159"/>
      <c r="C5" s="175"/>
      <c r="D5" s="175"/>
      <c r="E5" s="175"/>
      <c r="F5" s="175"/>
      <c r="G5" s="175"/>
    </row>
    <row r="6" spans="1:7" x14ac:dyDescent="0.2">
      <c r="A6" s="1" t="s">
        <v>0</v>
      </c>
      <c r="C6" s="3">
        <v>9512</v>
      </c>
      <c r="D6" s="3">
        <v>9764</v>
      </c>
      <c r="E6" s="3">
        <v>9653</v>
      </c>
      <c r="F6" s="3">
        <v>10831</v>
      </c>
      <c r="G6" s="3">
        <v>13611</v>
      </c>
    </row>
    <row r="7" spans="1:7" x14ac:dyDescent="0.2">
      <c r="A7" s="1" t="s">
        <v>1</v>
      </c>
      <c r="C7" s="2"/>
      <c r="D7" s="3">
        <v>144</v>
      </c>
      <c r="E7" s="3">
        <v>142</v>
      </c>
      <c r="F7" s="3">
        <v>208</v>
      </c>
      <c r="G7" s="3">
        <v>204</v>
      </c>
    </row>
    <row r="8" spans="1:7" x14ac:dyDescent="0.2">
      <c r="A8" s="9" t="s">
        <v>85</v>
      </c>
      <c r="B8" s="9"/>
      <c r="C8" s="11"/>
      <c r="D8" s="12">
        <f>D6+D7</f>
        <v>9908</v>
      </c>
      <c r="E8" s="12">
        <f>E6+E7</f>
        <v>9795</v>
      </c>
      <c r="F8" s="12">
        <f>F6+F7</f>
        <v>11039</v>
      </c>
      <c r="G8" s="12">
        <f>G6+G7</f>
        <v>13815</v>
      </c>
    </row>
    <row r="9" spans="1:7" x14ac:dyDescent="0.2">
      <c r="A9" s="1" t="s">
        <v>2</v>
      </c>
      <c r="C9" s="2"/>
      <c r="D9" s="3">
        <v>4649</v>
      </c>
      <c r="E9" s="3">
        <v>3941</v>
      </c>
      <c r="F9" s="3">
        <v>4572</v>
      </c>
      <c r="G9" s="3">
        <v>6197</v>
      </c>
    </row>
    <row r="10" spans="1:7" x14ac:dyDescent="0.2">
      <c r="A10" s="1" t="s">
        <v>3</v>
      </c>
      <c r="C10" s="2"/>
      <c r="D10" s="3">
        <v>541</v>
      </c>
      <c r="E10" s="3">
        <v>752</v>
      </c>
      <c r="F10" s="3">
        <v>960</v>
      </c>
      <c r="G10" s="3">
        <v>1565</v>
      </c>
    </row>
    <row r="11" spans="1:7" x14ac:dyDescent="0.2">
      <c r="A11" s="1" t="s">
        <v>4</v>
      </c>
      <c r="C11" s="2"/>
      <c r="D11" s="3">
        <v>161</v>
      </c>
      <c r="E11" s="3">
        <v>55</v>
      </c>
      <c r="F11" s="3">
        <v>-144</v>
      </c>
      <c r="G11" s="3">
        <v>-203</v>
      </c>
    </row>
    <row r="12" spans="1:7" x14ac:dyDescent="0.2">
      <c r="A12" s="1" t="s">
        <v>5</v>
      </c>
      <c r="C12" s="2"/>
      <c r="D12" s="3">
        <v>653</v>
      </c>
      <c r="E12" s="3">
        <v>743</v>
      </c>
      <c r="F12" s="3">
        <v>831</v>
      </c>
      <c r="G12" s="3">
        <v>916</v>
      </c>
    </row>
    <row r="13" spans="1:7" x14ac:dyDescent="0.2">
      <c r="A13" s="1" t="s">
        <v>6</v>
      </c>
      <c r="C13" s="2"/>
      <c r="D13" s="3">
        <v>56</v>
      </c>
      <c r="E13" s="3">
        <v>73</v>
      </c>
      <c r="F13" s="3">
        <v>53</v>
      </c>
      <c r="G13" s="3">
        <v>53</v>
      </c>
    </row>
    <row r="14" spans="1:7" x14ac:dyDescent="0.2">
      <c r="A14" s="1" t="s">
        <v>7</v>
      </c>
      <c r="C14" s="2"/>
      <c r="D14" s="3">
        <v>155</v>
      </c>
      <c r="E14" s="3">
        <v>158</v>
      </c>
      <c r="F14" s="3">
        <v>178</v>
      </c>
      <c r="G14" s="3">
        <v>202</v>
      </c>
    </row>
    <row r="15" spans="1:7" x14ac:dyDescent="0.2">
      <c r="A15" s="1" t="s">
        <v>8</v>
      </c>
      <c r="C15" s="2"/>
      <c r="D15" s="3">
        <v>842</v>
      </c>
      <c r="E15" s="3">
        <v>952</v>
      </c>
      <c r="F15" s="3">
        <v>1128</v>
      </c>
      <c r="G15" s="3">
        <v>1301</v>
      </c>
    </row>
    <row r="16" spans="1:7" x14ac:dyDescent="0.2">
      <c r="A16" s="1" t="s">
        <v>9</v>
      </c>
      <c r="C16" s="2"/>
      <c r="D16" s="3">
        <v>1108</v>
      </c>
      <c r="E16" s="3">
        <v>1184</v>
      </c>
      <c r="F16" s="3">
        <v>1345</v>
      </c>
      <c r="G16" s="3">
        <v>1507</v>
      </c>
    </row>
    <row r="17" spans="1:7" x14ac:dyDescent="0.2">
      <c r="A17" s="9" t="s">
        <v>86</v>
      </c>
      <c r="B17" s="9"/>
      <c r="C17" s="11"/>
      <c r="D17" s="12">
        <f>SUM(D9:D16)</f>
        <v>8165</v>
      </c>
      <c r="E17" s="12">
        <f>SUM(E9:E16)</f>
        <v>7858</v>
      </c>
      <c r="F17" s="12">
        <f>SUM(F9:F16)</f>
        <v>8923</v>
      </c>
      <c r="G17" s="12">
        <f>SUM(G9:G16)</f>
        <v>11538</v>
      </c>
    </row>
    <row r="18" spans="1:7" x14ac:dyDescent="0.2">
      <c r="A18" s="9" t="s">
        <v>56</v>
      </c>
      <c r="B18" s="9"/>
      <c r="C18" s="11"/>
      <c r="D18" s="12">
        <f>D8-D17</f>
        <v>1743</v>
      </c>
      <c r="E18" s="12">
        <f>E8-E17</f>
        <v>1937</v>
      </c>
      <c r="F18" s="12">
        <f>F8-F17</f>
        <v>2116</v>
      </c>
      <c r="G18" s="12">
        <f>G8-G17</f>
        <v>2277</v>
      </c>
    </row>
    <row r="19" spans="1:7" x14ac:dyDescent="0.2">
      <c r="A19" s="1" t="s">
        <v>10</v>
      </c>
      <c r="C19" s="2"/>
      <c r="D19" s="3">
        <v>377</v>
      </c>
      <c r="E19" s="3">
        <v>353</v>
      </c>
      <c r="F19" s="3">
        <v>480</v>
      </c>
      <c r="G19" s="3">
        <v>543</v>
      </c>
    </row>
    <row r="20" spans="1:7" x14ac:dyDescent="0.2">
      <c r="A20" s="1" t="s">
        <v>11</v>
      </c>
      <c r="C20" s="2"/>
      <c r="D20" s="3">
        <v>44</v>
      </c>
      <c r="E20" s="3">
        <v>82</v>
      </c>
      <c r="F20" s="3">
        <v>-22</v>
      </c>
      <c r="G20" s="3">
        <v>-79</v>
      </c>
    </row>
    <row r="21" spans="1:7" x14ac:dyDescent="0.2">
      <c r="A21" s="1" t="s">
        <v>87</v>
      </c>
      <c r="C21" s="2"/>
      <c r="D21" s="4">
        <f>D19+D20</f>
        <v>421</v>
      </c>
      <c r="E21" s="4">
        <f>E19+E20</f>
        <v>435</v>
      </c>
      <c r="F21" s="4">
        <f>F19+F20</f>
        <v>458</v>
      </c>
      <c r="G21" s="4">
        <f>G19+G20</f>
        <v>464</v>
      </c>
    </row>
    <row r="22" spans="1:7" x14ac:dyDescent="0.2">
      <c r="A22" s="9" t="s">
        <v>88</v>
      </c>
      <c r="B22" s="9"/>
      <c r="C22" s="11"/>
      <c r="D22" s="12">
        <f>D18-D21</f>
        <v>1322</v>
      </c>
      <c r="E22" s="12">
        <f>E18-E21</f>
        <v>1502</v>
      </c>
      <c r="F22" s="12">
        <f>F18-F21</f>
        <v>1658</v>
      </c>
      <c r="G22" s="12">
        <f>G18-G21</f>
        <v>1813</v>
      </c>
    </row>
    <row r="23" spans="1:7" x14ac:dyDescent="0.2">
      <c r="A23" s="17" t="s">
        <v>12</v>
      </c>
      <c r="C23" s="2"/>
      <c r="D23" s="3">
        <v>1302</v>
      </c>
      <c r="E23" s="3">
        <v>1481</v>
      </c>
      <c r="F23" s="3">
        <v>1629</v>
      </c>
      <c r="G23" s="3">
        <v>1762</v>
      </c>
    </row>
    <row r="24" spans="1:7" x14ac:dyDescent="0.2">
      <c r="A24" s="18" t="s">
        <v>89</v>
      </c>
      <c r="C24" s="2"/>
      <c r="D24" s="4">
        <f>D22-D23</f>
        <v>20</v>
      </c>
      <c r="E24" s="4">
        <f>E22-E23</f>
        <v>21</v>
      </c>
      <c r="F24" s="4">
        <f>F22-F23</f>
        <v>29</v>
      </c>
      <c r="G24" s="4">
        <f>G22-G23</f>
        <v>51</v>
      </c>
    </row>
    <row r="25" spans="1:7" x14ac:dyDescent="0.2">
      <c r="A25" s="10" t="s">
        <v>90</v>
      </c>
      <c r="C25" s="3">
        <v>1681</v>
      </c>
      <c r="D25" s="4">
        <f>D6-SUM(D9:D12)-D15-D16</f>
        <v>1810</v>
      </c>
      <c r="E25" s="4">
        <f>E6-SUM(E9:E12)-E15-E16</f>
        <v>2026</v>
      </c>
      <c r="F25" s="4">
        <f>F6-SUM(F9:F12)-F15-F16</f>
        <v>2139</v>
      </c>
      <c r="G25" s="4">
        <f>G6-SUM(G9:G12)-G15-G16</f>
        <v>2328</v>
      </c>
    </row>
    <row r="26" spans="1:7" x14ac:dyDescent="0.2">
      <c r="A26" s="10" t="s">
        <v>13</v>
      </c>
      <c r="C26" s="5"/>
      <c r="D26" s="6">
        <v>10.050000000000001</v>
      </c>
      <c r="E26" s="6">
        <v>11.43</v>
      </c>
      <c r="F26" s="6">
        <v>12.56</v>
      </c>
      <c r="G26" s="6">
        <v>13.59</v>
      </c>
    </row>
    <row r="27" spans="1:7" x14ac:dyDescent="0.2">
      <c r="A27" s="201" t="s">
        <v>124</v>
      </c>
      <c r="C27" s="2"/>
      <c r="D27" s="2"/>
      <c r="E27" s="2"/>
      <c r="F27" s="2"/>
      <c r="G27" s="2"/>
    </row>
    <row r="28" spans="1:7" x14ac:dyDescent="0.2">
      <c r="A28" s="159" t="s">
        <v>121</v>
      </c>
      <c r="B28" s="159"/>
      <c r="C28" s="175"/>
      <c r="D28" s="175"/>
      <c r="E28" s="175"/>
      <c r="F28" s="175"/>
      <c r="G28" s="175"/>
    </row>
    <row r="29" spans="1:7" x14ac:dyDescent="0.2">
      <c r="A29" s="1" t="s">
        <v>14</v>
      </c>
      <c r="C29" s="2"/>
      <c r="D29" s="3">
        <v>633</v>
      </c>
      <c r="E29" s="3">
        <v>700</v>
      </c>
      <c r="F29" s="3">
        <v>710</v>
      </c>
      <c r="G29" s="3">
        <v>832</v>
      </c>
    </row>
    <row r="30" spans="1:7" x14ac:dyDescent="0.2">
      <c r="A30" s="1" t="s">
        <v>15</v>
      </c>
      <c r="C30" s="2"/>
      <c r="D30" s="3">
        <v>67</v>
      </c>
      <c r="E30" s="3">
        <v>44</v>
      </c>
      <c r="F30" s="3">
        <v>40</v>
      </c>
      <c r="G30" s="3">
        <v>85</v>
      </c>
    </row>
    <row r="31" spans="1:7" x14ac:dyDescent="0.2">
      <c r="A31" s="1" t="s">
        <v>16</v>
      </c>
      <c r="C31" s="2"/>
      <c r="D31" s="3">
        <v>175</v>
      </c>
      <c r="E31" s="3">
        <v>209</v>
      </c>
      <c r="F31" s="3">
        <v>230</v>
      </c>
      <c r="G31" s="3">
        <v>258</v>
      </c>
    </row>
    <row r="32" spans="1:7" x14ac:dyDescent="0.2">
      <c r="A32" s="1" t="s">
        <v>17</v>
      </c>
      <c r="C32" s="2"/>
      <c r="D32" s="3">
        <v>16</v>
      </c>
      <c r="E32" s="3">
        <v>15</v>
      </c>
      <c r="F32" s="3">
        <v>15</v>
      </c>
      <c r="G32" s="3">
        <v>9</v>
      </c>
    </row>
    <row r="33" spans="1:7" x14ac:dyDescent="0.2">
      <c r="A33" s="1" t="s">
        <v>18</v>
      </c>
      <c r="C33" s="2"/>
      <c r="D33" s="3">
        <v>862</v>
      </c>
      <c r="E33" s="3">
        <v>863</v>
      </c>
      <c r="F33" s="3">
        <v>857</v>
      </c>
      <c r="G33" s="3">
        <v>1036</v>
      </c>
    </row>
    <row r="34" spans="1:7" x14ac:dyDescent="0.2">
      <c r="A34" s="1" t="s">
        <v>19</v>
      </c>
      <c r="C34" s="2"/>
      <c r="D34" s="3">
        <v>560</v>
      </c>
      <c r="E34" s="3">
        <v>937</v>
      </c>
      <c r="F34" s="3">
        <v>946</v>
      </c>
      <c r="G34" s="3">
        <v>1498</v>
      </c>
    </row>
    <row r="35" spans="1:7" x14ac:dyDescent="0.2">
      <c r="A35" s="1" t="s">
        <v>20</v>
      </c>
      <c r="C35" s="2"/>
      <c r="D35" s="3">
        <v>518</v>
      </c>
      <c r="E35" s="3">
        <v>343</v>
      </c>
      <c r="F35" s="3">
        <v>215</v>
      </c>
      <c r="G35" s="3">
        <v>135</v>
      </c>
    </row>
    <row r="36" spans="1:7" x14ac:dyDescent="0.2">
      <c r="A36" s="1" t="s">
        <v>21</v>
      </c>
      <c r="C36" s="2"/>
      <c r="D36" s="3">
        <v>4</v>
      </c>
      <c r="E36" s="3">
        <v>4</v>
      </c>
      <c r="F36" s="3">
        <v>6</v>
      </c>
      <c r="G36" s="3">
        <v>4</v>
      </c>
    </row>
    <row r="37" spans="1:7" x14ac:dyDescent="0.2">
      <c r="A37" s="1" t="s">
        <v>22</v>
      </c>
      <c r="C37" s="2"/>
      <c r="D37" s="3">
        <v>32</v>
      </c>
      <c r="E37" s="3">
        <v>100</v>
      </c>
      <c r="F37" s="3">
        <v>22</v>
      </c>
      <c r="G37" s="3">
        <v>27</v>
      </c>
    </row>
    <row r="38" spans="1:7" x14ac:dyDescent="0.2">
      <c r="A38" s="1" t="s">
        <v>23</v>
      </c>
      <c r="C38" s="2"/>
      <c r="D38" s="3">
        <v>146</v>
      </c>
      <c r="E38" s="3">
        <v>68</v>
      </c>
      <c r="F38" s="3">
        <v>57</v>
      </c>
      <c r="G38" s="3">
        <v>125</v>
      </c>
    </row>
    <row r="39" spans="1:7" x14ac:dyDescent="0.2">
      <c r="A39" s="1" t="s">
        <v>24</v>
      </c>
      <c r="C39" s="2"/>
      <c r="D39" s="3">
        <v>67</v>
      </c>
      <c r="E39" s="3">
        <v>95</v>
      </c>
      <c r="F39" s="3">
        <v>108</v>
      </c>
      <c r="G39" s="3">
        <v>114</v>
      </c>
    </row>
    <row r="40" spans="1:7" x14ac:dyDescent="0.2">
      <c r="A40" s="1" t="s">
        <v>25</v>
      </c>
      <c r="C40" s="2"/>
      <c r="D40" s="3">
        <v>46</v>
      </c>
      <c r="E40" s="3">
        <v>40</v>
      </c>
      <c r="F40" s="3">
        <v>49</v>
      </c>
      <c r="G40" s="3">
        <v>92</v>
      </c>
    </row>
    <row r="41" spans="1:7" x14ac:dyDescent="0.2">
      <c r="A41" s="9" t="s">
        <v>91</v>
      </c>
      <c r="B41" s="9"/>
      <c r="C41" s="11"/>
      <c r="D41" s="12">
        <f>SUM(D29:D40)</f>
        <v>3126</v>
      </c>
      <c r="E41" s="12">
        <f>SUM(E29:E40)</f>
        <v>3418</v>
      </c>
      <c r="F41" s="12">
        <f>SUM(F29:F40)</f>
        <v>3255</v>
      </c>
      <c r="G41" s="12">
        <f>SUM(G29:G40)</f>
        <v>4215</v>
      </c>
    </row>
    <row r="42" spans="1:7" x14ac:dyDescent="0.2">
      <c r="A42" s="1" t="s">
        <v>26</v>
      </c>
      <c r="C42" s="2"/>
      <c r="D42" s="3">
        <v>1225</v>
      </c>
      <c r="E42" s="3">
        <v>1336</v>
      </c>
      <c r="F42" s="3">
        <v>1235</v>
      </c>
      <c r="G42" s="3">
        <v>1611</v>
      </c>
    </row>
    <row r="43" spans="1:7" x14ac:dyDescent="0.2">
      <c r="A43" s="1" t="s">
        <v>27</v>
      </c>
      <c r="C43" s="2"/>
      <c r="D43" s="3">
        <v>578</v>
      </c>
      <c r="E43" s="3">
        <v>259</v>
      </c>
      <c r="F43" s="3">
        <v>1375</v>
      </c>
      <c r="G43" s="3">
        <v>1948</v>
      </c>
    </row>
    <row r="44" spans="1:7" x14ac:dyDescent="0.2">
      <c r="A44" s="1" t="s">
        <v>28</v>
      </c>
      <c r="C44" s="2"/>
      <c r="D44" s="3">
        <v>1015</v>
      </c>
      <c r="E44" s="3">
        <v>1069</v>
      </c>
      <c r="F44" s="3">
        <v>1271</v>
      </c>
      <c r="G44" s="3">
        <v>1304</v>
      </c>
    </row>
    <row r="45" spans="1:7" x14ac:dyDescent="0.2">
      <c r="A45" s="1" t="s">
        <v>29</v>
      </c>
      <c r="C45" s="2"/>
      <c r="D45" s="3">
        <v>207</v>
      </c>
      <c r="E45" s="3">
        <v>228</v>
      </c>
      <c r="F45" s="3">
        <v>321</v>
      </c>
      <c r="G45" s="3">
        <v>404</v>
      </c>
    </row>
    <row r="46" spans="1:7" x14ac:dyDescent="0.2">
      <c r="A46" s="1" t="s">
        <v>30</v>
      </c>
      <c r="C46" s="2"/>
      <c r="D46" s="3">
        <v>549</v>
      </c>
      <c r="E46" s="3">
        <v>715</v>
      </c>
      <c r="F46" s="3">
        <v>456</v>
      </c>
      <c r="G46" s="3">
        <v>89</v>
      </c>
    </row>
    <row r="47" spans="1:7" x14ac:dyDescent="0.2">
      <c r="A47" s="1" t="s">
        <v>31</v>
      </c>
      <c r="C47" s="2"/>
      <c r="D47" s="3">
        <v>4</v>
      </c>
      <c r="E47" s="3">
        <v>6</v>
      </c>
      <c r="F47" s="3">
        <v>7</v>
      </c>
      <c r="G47" s="3">
        <v>7</v>
      </c>
    </row>
    <row r="48" spans="1:7" x14ac:dyDescent="0.2">
      <c r="A48" s="1" t="s">
        <v>32</v>
      </c>
      <c r="C48" s="2"/>
      <c r="D48" s="3">
        <v>4</v>
      </c>
      <c r="E48" s="3">
        <v>5</v>
      </c>
      <c r="F48" s="3">
        <v>3</v>
      </c>
      <c r="G48" s="3">
        <v>6</v>
      </c>
    </row>
    <row r="49" spans="1:7" x14ac:dyDescent="0.2">
      <c r="A49" s="1" t="s">
        <v>33</v>
      </c>
      <c r="C49" s="2"/>
      <c r="D49" s="3">
        <v>2</v>
      </c>
      <c r="E49" s="3">
        <v>2</v>
      </c>
      <c r="F49" s="3">
        <v>2</v>
      </c>
      <c r="G49" s="3">
        <v>3</v>
      </c>
    </row>
    <row r="50" spans="1:7" x14ac:dyDescent="0.2">
      <c r="A50" s="1" t="s">
        <v>34</v>
      </c>
      <c r="C50" s="2"/>
      <c r="D50" s="3">
        <v>236</v>
      </c>
      <c r="E50" s="3">
        <v>383</v>
      </c>
      <c r="F50" s="3">
        <v>407</v>
      </c>
      <c r="G50" s="3">
        <v>488</v>
      </c>
    </row>
    <row r="51" spans="1:7" x14ac:dyDescent="0.2">
      <c r="A51" s="9" t="s">
        <v>92</v>
      </c>
      <c r="B51" s="9"/>
      <c r="C51" s="11"/>
      <c r="D51" s="12">
        <f>SUM(D42:D50)</f>
        <v>3820</v>
      </c>
      <c r="E51" s="12">
        <f>SUM(E42:E50)</f>
        <v>4003</v>
      </c>
      <c r="F51" s="12">
        <f>SUM(F42:F50)</f>
        <v>5077</v>
      </c>
      <c r="G51" s="12">
        <f>SUM(G42:G50)</f>
        <v>5860</v>
      </c>
    </row>
    <row r="52" spans="1:7" ht="17" thickBot="1" x14ac:dyDescent="0.25">
      <c r="A52" s="9" t="s">
        <v>93</v>
      </c>
      <c r="B52" s="9"/>
      <c r="C52" s="13"/>
      <c r="D52" s="14">
        <f>D41+D51</f>
        <v>6946</v>
      </c>
      <c r="E52" s="14">
        <f>E41+E51</f>
        <v>7421</v>
      </c>
      <c r="F52" s="14">
        <f>F41+F51</f>
        <v>8332</v>
      </c>
      <c r="G52" s="14">
        <f>G41+G51</f>
        <v>10075</v>
      </c>
    </row>
    <row r="53" spans="1:7" ht="17" thickTop="1" x14ac:dyDescent="0.2">
      <c r="A53" s="1" t="s">
        <v>35</v>
      </c>
      <c r="C53" s="2"/>
      <c r="D53" s="3">
        <v>129</v>
      </c>
      <c r="E53" s="3">
        <v>129</v>
      </c>
      <c r="F53" s="3">
        <v>129</v>
      </c>
      <c r="G53" s="3">
        <v>130</v>
      </c>
    </row>
    <row r="54" spans="1:7" x14ac:dyDescent="0.2">
      <c r="A54" s="1" t="s">
        <v>36</v>
      </c>
      <c r="C54" s="2"/>
      <c r="D54" s="3">
        <v>3674</v>
      </c>
      <c r="E54" s="3">
        <v>3782</v>
      </c>
      <c r="F54" s="3">
        <v>3997</v>
      </c>
      <c r="G54" s="3">
        <v>4167</v>
      </c>
    </row>
    <row r="55" spans="1:7" x14ac:dyDescent="0.2">
      <c r="A55" s="1" t="s">
        <v>37</v>
      </c>
      <c r="C55" s="2"/>
      <c r="D55" s="3">
        <v>-4</v>
      </c>
      <c r="E55" s="3">
        <v>-79</v>
      </c>
      <c r="F55" s="3">
        <v>-152</v>
      </c>
      <c r="G55" s="3">
        <v>-87</v>
      </c>
    </row>
    <row r="56" spans="1:7" x14ac:dyDescent="0.2">
      <c r="A56" s="1" t="s">
        <v>38</v>
      </c>
      <c r="C56" s="2"/>
      <c r="D56" s="3">
        <v>0</v>
      </c>
      <c r="E56" s="3">
        <v>0</v>
      </c>
      <c r="F56" s="3">
        <v>1</v>
      </c>
      <c r="G56" s="3">
        <v>0</v>
      </c>
    </row>
    <row r="57" spans="1:7" x14ac:dyDescent="0.2">
      <c r="A57" s="9" t="s">
        <v>94</v>
      </c>
      <c r="B57" s="9"/>
      <c r="C57" s="11"/>
      <c r="D57" s="12">
        <f>SUM(D53:D56)</f>
        <v>3799</v>
      </c>
      <c r="E57" s="12">
        <f>SUM(E53:E56)</f>
        <v>3832</v>
      </c>
      <c r="F57" s="12">
        <f>SUM(F53:F56)</f>
        <v>3975</v>
      </c>
      <c r="G57" s="12">
        <f>SUM(G53:G56)</f>
        <v>4210</v>
      </c>
    </row>
    <row r="58" spans="1:7" x14ac:dyDescent="0.2">
      <c r="A58" s="1" t="s">
        <v>39</v>
      </c>
      <c r="C58" s="2"/>
      <c r="D58" s="3">
        <v>157</v>
      </c>
      <c r="E58" s="3">
        <v>337</v>
      </c>
      <c r="F58" s="3">
        <v>291</v>
      </c>
      <c r="G58" s="3">
        <v>284</v>
      </c>
    </row>
    <row r="59" spans="1:7" x14ac:dyDescent="0.2">
      <c r="A59" s="9" t="s">
        <v>95</v>
      </c>
      <c r="B59" s="9"/>
      <c r="C59" s="11"/>
      <c r="D59" s="12">
        <f>D57+D58</f>
        <v>3956</v>
      </c>
      <c r="E59" s="12">
        <f>E57+E58</f>
        <v>4169</v>
      </c>
      <c r="F59" s="12">
        <f>F57+F58</f>
        <v>4266</v>
      </c>
      <c r="G59" s="12">
        <f>G57+G58</f>
        <v>4494</v>
      </c>
    </row>
    <row r="60" spans="1:7" x14ac:dyDescent="0.2">
      <c r="A60" s="1" t="s">
        <v>40</v>
      </c>
      <c r="C60" s="2"/>
      <c r="D60" s="3">
        <v>2</v>
      </c>
      <c r="E60" s="3">
        <v>0</v>
      </c>
      <c r="F60" s="3">
        <v>0</v>
      </c>
      <c r="G60" s="3">
        <v>0</v>
      </c>
    </row>
    <row r="61" spans="1:7" x14ac:dyDescent="0.2">
      <c r="A61" s="1" t="s">
        <v>41</v>
      </c>
      <c r="C61" s="2"/>
      <c r="D61" s="3">
        <v>91</v>
      </c>
      <c r="E61" s="3">
        <v>104</v>
      </c>
      <c r="F61" s="3">
        <v>124</v>
      </c>
      <c r="G61" s="3">
        <v>127</v>
      </c>
    </row>
    <row r="62" spans="1:7" x14ac:dyDescent="0.2">
      <c r="A62" s="1" t="s">
        <v>42</v>
      </c>
      <c r="C62" s="2"/>
      <c r="D62" s="3">
        <v>266</v>
      </c>
      <c r="E62" s="3">
        <v>405</v>
      </c>
      <c r="F62" s="3">
        <v>1211</v>
      </c>
      <c r="G62" s="3">
        <v>947</v>
      </c>
    </row>
    <row r="63" spans="1:7" x14ac:dyDescent="0.2">
      <c r="A63" s="1" t="s">
        <v>43</v>
      </c>
      <c r="C63" s="2"/>
      <c r="D63" s="3">
        <v>20</v>
      </c>
      <c r="E63" s="3">
        <v>19</v>
      </c>
      <c r="F63" s="3">
        <v>27</v>
      </c>
      <c r="G63" s="3">
        <v>31</v>
      </c>
    </row>
    <row r="64" spans="1:7" x14ac:dyDescent="0.2">
      <c r="A64" s="1" t="s">
        <v>44</v>
      </c>
      <c r="C64" s="2"/>
      <c r="D64" s="3">
        <v>4</v>
      </c>
      <c r="E64" s="3">
        <v>1</v>
      </c>
      <c r="F64" s="3">
        <v>1</v>
      </c>
      <c r="G64" s="3">
        <v>1</v>
      </c>
    </row>
    <row r="65" spans="1:7" x14ac:dyDescent="0.2">
      <c r="A65" s="1" t="s">
        <v>45</v>
      </c>
      <c r="C65" s="2"/>
      <c r="D65" s="3">
        <v>178</v>
      </c>
      <c r="E65" s="3">
        <v>279</v>
      </c>
      <c r="F65" s="3">
        <v>248</v>
      </c>
      <c r="G65" s="3">
        <v>374</v>
      </c>
    </row>
    <row r="66" spans="1:7" x14ac:dyDescent="0.2">
      <c r="A66" s="9" t="s">
        <v>96</v>
      </c>
      <c r="B66" s="9"/>
      <c r="C66" s="11"/>
      <c r="D66" s="12">
        <f>SUM(D60:D65)</f>
        <v>561</v>
      </c>
      <c r="E66" s="12">
        <f>SUM(E60:E65)</f>
        <v>808</v>
      </c>
      <c r="F66" s="12">
        <f>SUM(F60:F65)</f>
        <v>1611</v>
      </c>
      <c r="G66" s="12">
        <f>SUM(G60:G65)</f>
        <v>1480</v>
      </c>
    </row>
    <row r="67" spans="1:7" x14ac:dyDescent="0.2">
      <c r="A67" s="1" t="s">
        <v>46</v>
      </c>
      <c r="C67" s="2"/>
      <c r="D67" s="3">
        <v>473</v>
      </c>
      <c r="E67" s="3">
        <v>383</v>
      </c>
      <c r="F67" s="3">
        <v>379</v>
      </c>
      <c r="G67" s="3">
        <v>355</v>
      </c>
    </row>
    <row r="68" spans="1:7" x14ac:dyDescent="0.2">
      <c r="A68" s="1" t="s">
        <v>47</v>
      </c>
      <c r="C68" s="2"/>
      <c r="D68" s="3">
        <v>42</v>
      </c>
      <c r="E68" s="3">
        <v>41</v>
      </c>
      <c r="F68" s="3">
        <v>51</v>
      </c>
      <c r="G68" s="3">
        <v>75</v>
      </c>
    </row>
    <row r="69" spans="1:7" x14ac:dyDescent="0.2">
      <c r="A69" s="1" t="s">
        <v>48</v>
      </c>
      <c r="C69" s="2"/>
      <c r="D69" s="3">
        <v>1452</v>
      </c>
      <c r="E69" s="3">
        <v>1581</v>
      </c>
      <c r="F69" s="3">
        <v>1306</v>
      </c>
      <c r="G69" s="3">
        <v>1634</v>
      </c>
    </row>
    <row r="70" spans="1:7" x14ac:dyDescent="0.2">
      <c r="A70" s="1" t="s">
        <v>49</v>
      </c>
      <c r="C70" s="2"/>
      <c r="D70" s="3">
        <v>40</v>
      </c>
      <c r="E70" s="3">
        <v>59</v>
      </c>
      <c r="F70" s="3">
        <v>288</v>
      </c>
      <c r="G70" s="3">
        <v>1585</v>
      </c>
    </row>
    <row r="71" spans="1:7" x14ac:dyDescent="0.2">
      <c r="A71" s="1" t="s">
        <v>50</v>
      </c>
      <c r="C71" s="2"/>
      <c r="D71" s="3">
        <v>217</v>
      </c>
      <c r="E71" s="3">
        <v>211</v>
      </c>
      <c r="F71" s="3">
        <v>232</v>
      </c>
      <c r="G71" s="3">
        <v>221</v>
      </c>
    </row>
    <row r="72" spans="1:7" x14ac:dyDescent="0.2">
      <c r="A72" s="1" t="s">
        <v>51</v>
      </c>
      <c r="C72" s="2"/>
      <c r="D72" s="3">
        <v>74</v>
      </c>
      <c r="E72" s="3">
        <v>79</v>
      </c>
      <c r="F72" s="3">
        <v>92</v>
      </c>
      <c r="G72" s="3">
        <v>146</v>
      </c>
    </row>
    <row r="73" spans="1:7" x14ac:dyDescent="0.2">
      <c r="A73" s="1" t="s">
        <v>52</v>
      </c>
      <c r="C73" s="2"/>
      <c r="D73" s="3">
        <v>44</v>
      </c>
      <c r="E73" s="3">
        <v>7</v>
      </c>
      <c r="F73" s="3">
        <v>15</v>
      </c>
      <c r="G73" s="3">
        <v>9</v>
      </c>
    </row>
    <row r="74" spans="1:7" x14ac:dyDescent="0.2">
      <c r="A74" s="1" t="s">
        <v>53</v>
      </c>
      <c r="C74" s="2"/>
      <c r="D74" s="3">
        <v>87</v>
      </c>
      <c r="E74" s="3">
        <v>83</v>
      </c>
      <c r="F74" s="3">
        <v>92</v>
      </c>
      <c r="G74" s="3">
        <v>76</v>
      </c>
    </row>
    <row r="75" spans="1:7" x14ac:dyDescent="0.2">
      <c r="A75" s="9" t="s">
        <v>97</v>
      </c>
      <c r="B75" s="9"/>
      <c r="C75" s="11"/>
      <c r="D75" s="12">
        <f>SUM(D67:D74)</f>
        <v>2429</v>
      </c>
      <c r="E75" s="12">
        <f>SUM(E67:E74)</f>
        <v>2444</v>
      </c>
      <c r="F75" s="12">
        <f>SUM(F67:F74)</f>
        <v>2455</v>
      </c>
      <c r="G75" s="12">
        <f>SUM(G67:G74)</f>
        <v>4101</v>
      </c>
    </row>
    <row r="76" spans="1:7" x14ac:dyDescent="0.2">
      <c r="A76" s="9" t="s">
        <v>98</v>
      </c>
      <c r="B76" s="9"/>
      <c r="C76" s="11"/>
      <c r="D76" s="12">
        <f>D66+D75</f>
        <v>2990</v>
      </c>
      <c r="E76" s="12">
        <f>E66+E75</f>
        <v>3252</v>
      </c>
      <c r="F76" s="12">
        <f>F66+F75</f>
        <v>4066</v>
      </c>
      <c r="G76" s="12">
        <f>G66+G75</f>
        <v>5581</v>
      </c>
    </row>
    <row r="77" spans="1:7" ht="17" thickBot="1" x14ac:dyDescent="0.25">
      <c r="A77" s="9" t="s">
        <v>99</v>
      </c>
      <c r="B77" s="9"/>
      <c r="C77" s="13"/>
      <c r="D77" s="14">
        <f>D59+D76</f>
        <v>6946</v>
      </c>
      <c r="E77" s="14">
        <f>E59+E76</f>
        <v>7421</v>
      </c>
      <c r="F77" s="14">
        <f>F59+F76</f>
        <v>8332</v>
      </c>
      <c r="G77" s="14">
        <f>G59+G76</f>
        <v>10075</v>
      </c>
    </row>
    <row r="78" spans="1:7" ht="17" thickTop="1" x14ac:dyDescent="0.2">
      <c r="A78" s="10" t="s">
        <v>100</v>
      </c>
      <c r="B78" s="10"/>
      <c r="C78" s="15"/>
      <c r="D78" s="16">
        <f>D52-D77</f>
        <v>0</v>
      </c>
      <c r="E78" s="16">
        <f>E52-E77</f>
        <v>0</v>
      </c>
      <c r="F78" s="16">
        <f>F52-F77</f>
        <v>0</v>
      </c>
      <c r="G78" s="16">
        <f>G52-G77</f>
        <v>0</v>
      </c>
    </row>
    <row r="79" spans="1:7" x14ac:dyDescent="0.2">
      <c r="A79" s="10" t="s">
        <v>54</v>
      </c>
      <c r="C79" s="2"/>
      <c r="D79" s="2"/>
      <c r="E79" s="2"/>
      <c r="F79" s="3">
        <v>184</v>
      </c>
      <c r="G79" s="3">
        <v>1108</v>
      </c>
    </row>
    <row r="80" spans="1:7" x14ac:dyDescent="0.2">
      <c r="A80" s="10" t="s">
        <v>101</v>
      </c>
      <c r="C80" s="2"/>
      <c r="D80" s="4">
        <f>D62+D79</f>
        <v>266</v>
      </c>
      <c r="E80" s="4">
        <f>E62+E79</f>
        <v>405</v>
      </c>
      <c r="F80" s="4">
        <f>F62+F79</f>
        <v>1395</v>
      </c>
      <c r="G80" s="4">
        <f>G62+G79</f>
        <v>2055</v>
      </c>
    </row>
    <row r="81" spans="1:7" x14ac:dyDescent="0.2">
      <c r="A81" s="10" t="s">
        <v>55</v>
      </c>
      <c r="C81" s="2"/>
      <c r="D81" s="3">
        <v>6946</v>
      </c>
      <c r="E81" s="3">
        <v>7421</v>
      </c>
      <c r="F81" s="3">
        <v>8332</v>
      </c>
      <c r="G81" s="3">
        <v>10075</v>
      </c>
    </row>
    <row r="82" spans="1:7" x14ac:dyDescent="0.2">
      <c r="A82" s="159" t="s">
        <v>122</v>
      </c>
      <c r="B82" s="159"/>
      <c r="C82" s="175"/>
      <c r="D82" s="175"/>
      <c r="E82" s="175"/>
      <c r="F82" s="175"/>
      <c r="G82" s="175"/>
    </row>
    <row r="83" spans="1:7" x14ac:dyDescent="0.2">
      <c r="A83" s="1" t="s">
        <v>56</v>
      </c>
      <c r="C83" s="2"/>
      <c r="D83" s="3">
        <v>1743</v>
      </c>
      <c r="E83" s="3">
        <v>1937</v>
      </c>
      <c r="F83" s="3">
        <v>2116</v>
      </c>
      <c r="G83" s="3">
        <v>2277</v>
      </c>
    </row>
    <row r="84" spans="1:7" x14ac:dyDescent="0.2">
      <c r="A84" s="1" t="s">
        <v>7</v>
      </c>
      <c r="C84" s="2"/>
      <c r="D84" s="3">
        <v>155</v>
      </c>
      <c r="E84" s="3">
        <v>158</v>
      </c>
      <c r="F84" s="3">
        <v>178</v>
      </c>
      <c r="G84" s="3">
        <v>202</v>
      </c>
    </row>
    <row r="85" spans="1:7" x14ac:dyDescent="0.2">
      <c r="A85" s="1" t="s">
        <v>6</v>
      </c>
      <c r="C85" s="2"/>
      <c r="D85" s="3">
        <v>56</v>
      </c>
      <c r="E85" s="3">
        <v>73</v>
      </c>
      <c r="F85" s="3">
        <v>53</v>
      </c>
      <c r="G85" s="3">
        <v>53</v>
      </c>
    </row>
    <row r="86" spans="1:7" x14ac:dyDescent="0.2">
      <c r="A86" s="1" t="s">
        <v>57</v>
      </c>
      <c r="C86" s="2"/>
      <c r="D86" s="3">
        <v>-49</v>
      </c>
      <c r="E86" s="3">
        <v>-77</v>
      </c>
      <c r="F86" s="3">
        <v>-77</v>
      </c>
      <c r="G86" s="3">
        <v>-14</v>
      </c>
    </row>
    <row r="87" spans="1:7" x14ac:dyDescent="0.2">
      <c r="A87" s="1" t="s">
        <v>58</v>
      </c>
      <c r="C87" s="2"/>
      <c r="D87" s="3">
        <v>-28</v>
      </c>
      <c r="E87" s="3">
        <v>-15</v>
      </c>
      <c r="F87" s="3">
        <v>-20</v>
      </c>
      <c r="G87" s="3">
        <v>-2</v>
      </c>
    </row>
    <row r="88" spans="1:7" x14ac:dyDescent="0.2">
      <c r="A88" s="1" t="s">
        <v>59</v>
      </c>
      <c r="C88" s="2"/>
      <c r="D88" s="3">
        <v>-50</v>
      </c>
      <c r="E88" s="3">
        <v>-73</v>
      </c>
      <c r="F88" s="3">
        <v>-76</v>
      </c>
      <c r="G88" s="3">
        <v>-153</v>
      </c>
    </row>
    <row r="89" spans="1:7" x14ac:dyDescent="0.2">
      <c r="A89" s="1" t="s">
        <v>60</v>
      </c>
      <c r="C89" s="2"/>
      <c r="D89" s="3">
        <v>19</v>
      </c>
      <c r="E89" s="3">
        <v>35</v>
      </c>
      <c r="F89" s="3">
        <v>43</v>
      </c>
      <c r="G89" s="3">
        <v>31</v>
      </c>
    </row>
    <row r="90" spans="1:7" x14ac:dyDescent="0.2">
      <c r="A90" s="1" t="s">
        <v>61</v>
      </c>
      <c r="C90" s="2"/>
      <c r="D90" s="3">
        <v>1</v>
      </c>
      <c r="E90" s="3">
        <v>2</v>
      </c>
      <c r="F90" s="3">
        <v>2</v>
      </c>
      <c r="G90" s="3">
        <v>3</v>
      </c>
    </row>
    <row r="91" spans="1:7" x14ac:dyDescent="0.2">
      <c r="A91" s="9" t="s">
        <v>102</v>
      </c>
      <c r="B91" s="9"/>
      <c r="C91" s="11"/>
      <c r="D91" s="12">
        <f>SUM(D83:D90)</f>
        <v>1847</v>
      </c>
      <c r="E91" s="12">
        <f>SUM(E83:E90)</f>
        <v>2040</v>
      </c>
      <c r="F91" s="12">
        <f>SUM(F83:F90)</f>
        <v>2219</v>
      </c>
      <c r="G91" s="12">
        <f>SUM(G83:G90)</f>
        <v>2397</v>
      </c>
    </row>
    <row r="92" spans="1:7" x14ac:dyDescent="0.2">
      <c r="A92" s="1" t="s">
        <v>62</v>
      </c>
      <c r="C92" s="2"/>
      <c r="D92" s="3">
        <v>-59</v>
      </c>
      <c r="E92" s="3">
        <v>-226</v>
      </c>
      <c r="F92" s="3">
        <v>-293</v>
      </c>
      <c r="G92" s="3">
        <v>253</v>
      </c>
    </row>
    <row r="93" spans="1:7" x14ac:dyDescent="0.2">
      <c r="A93" s="9" t="s">
        <v>103</v>
      </c>
      <c r="B93" s="9"/>
      <c r="C93" s="11"/>
      <c r="D93" s="12">
        <f>D91+D92</f>
        <v>1788</v>
      </c>
      <c r="E93" s="12">
        <f>E91+E92</f>
        <v>1814</v>
      </c>
      <c r="F93" s="12">
        <f>F91+F92</f>
        <v>1926</v>
      </c>
      <c r="G93" s="12">
        <f>G91+G92</f>
        <v>2650</v>
      </c>
    </row>
    <row r="94" spans="1:7" x14ac:dyDescent="0.2">
      <c r="A94" s="1" t="s">
        <v>63</v>
      </c>
      <c r="C94" s="2"/>
      <c r="D94" s="3">
        <v>-369</v>
      </c>
      <c r="E94" s="3">
        <v>-378</v>
      </c>
      <c r="F94" s="3">
        <v>-484</v>
      </c>
      <c r="G94" s="3">
        <v>-565</v>
      </c>
    </row>
    <row r="95" spans="1:7" x14ac:dyDescent="0.2">
      <c r="A95" s="9" t="s">
        <v>104</v>
      </c>
      <c r="B95" s="9"/>
      <c r="C95" s="11"/>
      <c r="D95" s="12">
        <f>D93+D94</f>
        <v>1419</v>
      </c>
      <c r="E95" s="12">
        <f>E93+E94</f>
        <v>1436</v>
      </c>
      <c r="F95" s="12">
        <f>F93+F94</f>
        <v>1442</v>
      </c>
      <c r="G95" s="12">
        <f>G93+G94</f>
        <v>2085</v>
      </c>
    </row>
    <row r="96" spans="1:7" x14ac:dyDescent="0.2">
      <c r="A96" s="1" t="s">
        <v>64</v>
      </c>
      <c r="C96" s="2"/>
      <c r="D96" s="3">
        <v>-182</v>
      </c>
      <c r="E96" s="3">
        <v>-153</v>
      </c>
      <c r="F96" s="3">
        <v>-161</v>
      </c>
      <c r="G96" s="3">
        <v>-319</v>
      </c>
    </row>
    <row r="97" spans="1:7" x14ac:dyDescent="0.2">
      <c r="A97" s="1" t="s">
        <v>65</v>
      </c>
      <c r="C97" s="2"/>
      <c r="D97" s="3">
        <v>-277</v>
      </c>
      <c r="E97" s="3">
        <v>-103</v>
      </c>
      <c r="F97" s="3">
        <v>0</v>
      </c>
      <c r="G97" s="3">
        <v>-452</v>
      </c>
    </row>
    <row r="98" spans="1:7" x14ac:dyDescent="0.2">
      <c r="A98" s="1" t="s">
        <v>66</v>
      </c>
      <c r="C98" s="2"/>
      <c r="D98" s="3">
        <v>25</v>
      </c>
      <c r="E98" s="3">
        <v>18</v>
      </c>
      <c r="F98" s="3">
        <v>39</v>
      </c>
      <c r="G98" s="3">
        <v>7</v>
      </c>
    </row>
    <row r="99" spans="1:7" x14ac:dyDescent="0.2">
      <c r="A99" s="1" t="s">
        <v>67</v>
      </c>
      <c r="C99" s="2"/>
      <c r="D99" s="3">
        <v>-220</v>
      </c>
      <c r="E99" s="3">
        <v>580</v>
      </c>
      <c r="F99" s="3">
        <v>-912</v>
      </c>
      <c r="G99" s="3">
        <v>-341</v>
      </c>
    </row>
    <row r="100" spans="1:7" x14ac:dyDescent="0.2">
      <c r="A100" s="1" t="s">
        <v>68</v>
      </c>
      <c r="C100" s="2"/>
      <c r="D100" s="3">
        <v>-259</v>
      </c>
      <c r="E100" s="3">
        <v>-232</v>
      </c>
      <c r="F100" s="3">
        <v>343</v>
      </c>
      <c r="G100" s="3">
        <v>359</v>
      </c>
    </row>
    <row r="101" spans="1:7" x14ac:dyDescent="0.2">
      <c r="A101" s="1" t="s">
        <v>69</v>
      </c>
      <c r="C101" s="2"/>
      <c r="D101" s="3">
        <v>48</v>
      </c>
      <c r="E101" s="3">
        <v>66</v>
      </c>
      <c r="F101" s="3">
        <v>70</v>
      </c>
      <c r="G101" s="3">
        <v>24</v>
      </c>
    </row>
    <row r="102" spans="1:7" x14ac:dyDescent="0.2">
      <c r="A102" s="9" t="s">
        <v>105</v>
      </c>
      <c r="B102" s="9"/>
      <c r="C102" s="11"/>
      <c r="D102" s="12">
        <f>SUM(D96:D101)</f>
        <v>-865</v>
      </c>
      <c r="E102" s="12">
        <f>SUM(E96:E101)</f>
        <v>176</v>
      </c>
      <c r="F102" s="12">
        <f>SUM(F96:F101)</f>
        <v>-621</v>
      </c>
      <c r="G102" s="12">
        <f>SUM(G96:G101)</f>
        <v>-722</v>
      </c>
    </row>
    <row r="103" spans="1:7" x14ac:dyDescent="0.2">
      <c r="A103" s="1" t="s">
        <v>70</v>
      </c>
      <c r="C103" s="2"/>
      <c r="D103" s="3">
        <v>9</v>
      </c>
      <c r="E103" s="3">
        <v>34</v>
      </c>
      <c r="F103" s="3">
        <v>46</v>
      </c>
      <c r="G103" s="3">
        <v>154</v>
      </c>
    </row>
    <row r="104" spans="1:7" x14ac:dyDescent="0.2">
      <c r="A104" s="1" t="s">
        <v>71</v>
      </c>
      <c r="C104" s="2"/>
      <c r="D104" s="3">
        <v>4</v>
      </c>
      <c r="E104" s="3">
        <v>2</v>
      </c>
      <c r="F104" s="3">
        <v>-12</v>
      </c>
      <c r="G104" s="3">
        <v>-82</v>
      </c>
    </row>
    <row r="105" spans="1:7" x14ac:dyDescent="0.2">
      <c r="A105" s="1" t="s">
        <v>72</v>
      </c>
      <c r="C105" s="2"/>
      <c r="D105" s="3">
        <v>128</v>
      </c>
      <c r="E105" s="3">
        <v>-91</v>
      </c>
      <c r="F105" s="3">
        <v>-5</v>
      </c>
      <c r="G105" s="3">
        <v>-24</v>
      </c>
    </row>
    <row r="106" spans="1:7" x14ac:dyDescent="0.2">
      <c r="A106" s="1" t="s">
        <v>73</v>
      </c>
      <c r="C106" s="2"/>
      <c r="D106" s="3">
        <v>-25</v>
      </c>
      <c r="E106" s="3">
        <v>0</v>
      </c>
      <c r="F106" s="3">
        <v>-47</v>
      </c>
      <c r="G106" s="3">
        <v>-81</v>
      </c>
    </row>
    <row r="107" spans="1:7" x14ac:dyDescent="0.2">
      <c r="A107" s="1" t="s">
        <v>74</v>
      </c>
      <c r="C107" s="2"/>
      <c r="D107" s="3">
        <v>0</v>
      </c>
      <c r="E107" s="3">
        <v>-141</v>
      </c>
      <c r="F107" s="3">
        <v>-70</v>
      </c>
      <c r="G107" s="3">
        <v>-221</v>
      </c>
    </row>
    <row r="108" spans="1:7" x14ac:dyDescent="0.2">
      <c r="A108" s="1" t="s">
        <v>75</v>
      </c>
      <c r="C108" s="2"/>
      <c r="D108" s="3">
        <v>-42</v>
      </c>
      <c r="E108" s="3">
        <v>-54</v>
      </c>
      <c r="F108" s="3">
        <v>-51</v>
      </c>
      <c r="G108" s="3">
        <v>-37</v>
      </c>
    </row>
    <row r="109" spans="1:7" x14ac:dyDescent="0.2">
      <c r="A109" s="1" t="s">
        <v>76</v>
      </c>
      <c r="C109" s="2"/>
      <c r="D109" s="3">
        <v>-41</v>
      </c>
      <c r="E109" s="3">
        <v>-52</v>
      </c>
      <c r="F109" s="3">
        <v>-43</v>
      </c>
      <c r="G109" s="3">
        <v>-64</v>
      </c>
    </row>
    <row r="110" spans="1:7" x14ac:dyDescent="0.2">
      <c r="A110" s="1" t="s">
        <v>77</v>
      </c>
      <c r="C110" s="2"/>
      <c r="D110" s="3">
        <v>-11</v>
      </c>
      <c r="E110" s="3">
        <v>-11</v>
      </c>
      <c r="F110" s="3">
        <v>-14</v>
      </c>
      <c r="G110" s="3">
        <v>-16</v>
      </c>
    </row>
    <row r="111" spans="1:7" x14ac:dyDescent="0.2">
      <c r="A111" s="1" t="s">
        <v>78</v>
      </c>
      <c r="C111" s="2"/>
      <c r="D111" s="3">
        <v>-582</v>
      </c>
      <c r="E111" s="3">
        <v>-1229</v>
      </c>
      <c r="F111" s="3">
        <v>-453</v>
      </c>
      <c r="G111" s="3">
        <v>-908</v>
      </c>
    </row>
    <row r="112" spans="1:7" x14ac:dyDescent="0.2">
      <c r="A112" s="9" t="s">
        <v>106</v>
      </c>
      <c r="B112" s="9"/>
      <c r="C112" s="11"/>
      <c r="D112" s="12">
        <f>SUM(D103:D111)</f>
        <v>-560</v>
      </c>
      <c r="E112" s="12">
        <f>SUM(E103:E111)</f>
        <v>-1542</v>
      </c>
      <c r="F112" s="12">
        <f>SUM(F103:F111)</f>
        <v>-649</v>
      </c>
      <c r="G112" s="12">
        <f>SUM(G103:G111)</f>
        <v>-1279</v>
      </c>
    </row>
    <row r="113" spans="1:7" x14ac:dyDescent="0.2">
      <c r="A113" s="1" t="s">
        <v>79</v>
      </c>
      <c r="C113" s="2"/>
      <c r="D113" s="3">
        <v>-63</v>
      </c>
      <c r="E113" s="3">
        <v>-49</v>
      </c>
      <c r="F113" s="3">
        <v>-79</v>
      </c>
      <c r="G113" s="3">
        <v>-1</v>
      </c>
    </row>
    <row r="114" spans="1:7" x14ac:dyDescent="0.2">
      <c r="A114" s="1" t="s">
        <v>107</v>
      </c>
      <c r="C114" s="2"/>
      <c r="D114" s="4">
        <f>D95+D102+D112+D113</f>
        <v>-69</v>
      </c>
      <c r="E114" s="4">
        <f>E95+E102+E112+E113</f>
        <v>21</v>
      </c>
      <c r="F114" s="4">
        <f>F95+F102+F112+F113</f>
        <v>93</v>
      </c>
      <c r="G114" s="4">
        <f>G95+G102+G112+G113</f>
        <v>83</v>
      </c>
    </row>
    <row r="115" spans="1:7" x14ac:dyDescent="0.2">
      <c r="A115" s="1" t="s">
        <v>80</v>
      </c>
      <c r="C115" s="2"/>
      <c r="D115" s="3">
        <v>276</v>
      </c>
      <c r="E115" s="3">
        <v>207</v>
      </c>
      <c r="F115" s="3">
        <v>228</v>
      </c>
      <c r="G115" s="3">
        <v>321</v>
      </c>
    </row>
    <row r="116" spans="1:7" ht="17" thickBot="1" x14ac:dyDescent="0.25">
      <c r="A116" s="9" t="s">
        <v>108</v>
      </c>
      <c r="B116" s="9"/>
      <c r="C116" s="13"/>
      <c r="D116" s="14">
        <f>D115+D114</f>
        <v>207</v>
      </c>
      <c r="E116" s="14">
        <f>E115+E114</f>
        <v>228</v>
      </c>
      <c r="F116" s="14">
        <f>F115+F114</f>
        <v>321</v>
      </c>
      <c r="G116" s="14">
        <f>G115+G114</f>
        <v>404</v>
      </c>
    </row>
    <row r="117" spans="1:7" ht="17" thickTop="1" x14ac:dyDescent="0.2">
      <c r="A117" s="10" t="s">
        <v>109</v>
      </c>
      <c r="B117" s="10"/>
      <c r="C117" s="15"/>
      <c r="D117" s="16">
        <f>D116-D45</f>
        <v>0</v>
      </c>
      <c r="E117" s="16">
        <f>E116-E45</f>
        <v>0</v>
      </c>
      <c r="F117" s="16">
        <f>F116-F45</f>
        <v>0</v>
      </c>
      <c r="G117" s="16">
        <f>G116-G45</f>
        <v>0</v>
      </c>
    </row>
    <row r="118" spans="1:7" x14ac:dyDescent="0.2">
      <c r="A118" s="10" t="s">
        <v>110</v>
      </c>
      <c r="C118" s="2"/>
      <c r="D118" s="4">
        <f>D95+D96</f>
        <v>1237</v>
      </c>
      <c r="E118" s="4">
        <f>E95+E96</f>
        <v>1283</v>
      </c>
      <c r="F118" s="4">
        <f>F95+F96</f>
        <v>1281</v>
      </c>
      <c r="G118" s="4">
        <f>G95+G96</f>
        <v>1766</v>
      </c>
    </row>
    <row r="119" spans="1:7" x14ac:dyDescent="0.2">
      <c r="C119" s="2"/>
      <c r="D119" s="2"/>
      <c r="E119" s="2"/>
      <c r="F119" s="2"/>
      <c r="G119" s="2"/>
    </row>
    <row r="120" spans="1:7" x14ac:dyDescent="0.2">
      <c r="A120" s="159" t="s">
        <v>123</v>
      </c>
      <c r="B120" s="159"/>
      <c r="C120" s="175"/>
      <c r="D120" s="175"/>
      <c r="E120" s="175"/>
      <c r="F120" s="175"/>
      <c r="G120" s="175"/>
    </row>
    <row r="121" spans="1:7" x14ac:dyDescent="0.2">
      <c r="A121" s="1" t="s">
        <v>81</v>
      </c>
      <c r="C121" s="2"/>
      <c r="D121" s="2"/>
      <c r="E121" s="2"/>
      <c r="F121" s="3">
        <v>8110</v>
      </c>
      <c r="G121" s="3">
        <v>10348</v>
      </c>
    </row>
    <row r="122" spans="1:7" x14ac:dyDescent="0.2">
      <c r="A122" s="1" t="s">
        <v>82</v>
      </c>
      <c r="C122" s="2"/>
      <c r="D122" s="2"/>
      <c r="E122" s="2"/>
      <c r="F122" s="3">
        <v>2721</v>
      </c>
      <c r="G122" s="3">
        <v>3263</v>
      </c>
    </row>
    <row r="123" spans="1:7" x14ac:dyDescent="0.2">
      <c r="A123" s="9" t="s">
        <v>111</v>
      </c>
      <c r="B123" s="9"/>
      <c r="C123" s="11"/>
      <c r="D123" s="11"/>
      <c r="E123" s="11"/>
      <c r="F123" s="12">
        <f>F121+F122</f>
        <v>10831</v>
      </c>
      <c r="G123" s="12">
        <f>G121+G122</f>
        <v>13611</v>
      </c>
    </row>
    <row r="124" spans="1:7" x14ac:dyDescent="0.2">
      <c r="A124" s="10" t="s">
        <v>112</v>
      </c>
      <c r="B124" s="10"/>
      <c r="C124" s="15"/>
      <c r="D124" s="15"/>
      <c r="E124" s="15"/>
      <c r="F124" s="16">
        <f>F123-F6</f>
        <v>0</v>
      </c>
      <c r="G124" s="16">
        <f>G123-G6</f>
        <v>0</v>
      </c>
    </row>
    <row r="125" spans="1:7" x14ac:dyDescent="0.2">
      <c r="A125" s="1" t="s">
        <v>83</v>
      </c>
      <c r="C125" s="7"/>
      <c r="D125" s="7"/>
      <c r="E125" s="7"/>
      <c r="F125" s="7"/>
      <c r="G125" s="8">
        <v>0.08</v>
      </c>
    </row>
    <row r="126" spans="1:7" x14ac:dyDescent="0.2">
      <c r="A126" s="1" t="s">
        <v>84</v>
      </c>
      <c r="C126" s="7"/>
      <c r="D126" s="7"/>
      <c r="E126" s="7"/>
      <c r="F126" s="7"/>
      <c r="G126" s="8">
        <v>0.2</v>
      </c>
    </row>
    <row r="128" spans="1:7" x14ac:dyDescent="0.2">
      <c r="A128" s="159" t="s">
        <v>385</v>
      </c>
      <c r="B128" s="159"/>
      <c r="C128" s="159"/>
      <c r="D128" s="159"/>
      <c r="E128" s="159"/>
      <c r="F128" s="159"/>
      <c r="G128" s="159"/>
    </row>
    <row r="129" spans="1:1" x14ac:dyDescent="0.2">
      <c r="A129" s="202" t="s">
        <v>386</v>
      </c>
    </row>
    <row r="130" spans="1:1" x14ac:dyDescent="0.2">
      <c r="A130" s="202" t="s">
        <v>387</v>
      </c>
    </row>
    <row r="131" spans="1:1" x14ac:dyDescent="0.2">
      <c r="A131" s="202" t="s">
        <v>388</v>
      </c>
    </row>
    <row r="132" spans="1:1" x14ac:dyDescent="0.2">
      <c r="A132" s="202" t="s">
        <v>389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DC2A-FFCB-5545-809E-29517D4491A6}">
  <sheetPr>
    <tabColor rgb="FF115E6E"/>
  </sheetPr>
  <dimension ref="A1:Z104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RowHeight="16" x14ac:dyDescent="0.2"/>
  <cols>
    <col min="1" max="1" width="50" style="1" customWidth="1"/>
    <col min="2" max="2" width="2" style="1" customWidth="1"/>
    <col min="3" max="12" width="10.6640625" style="1" customWidth="1"/>
    <col min="13" max="26" width="10.83203125" style="1"/>
  </cols>
  <sheetData>
    <row r="1" spans="1:12" ht="24" customHeight="1" thickBot="1" x14ac:dyDescent="0.25">
      <c r="A1" s="200" t="s">
        <v>226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1:12" x14ac:dyDescent="0.2">
      <c r="A2" s="156" t="s">
        <v>227</v>
      </c>
    </row>
    <row r="4" spans="1:12" x14ac:dyDescent="0.2">
      <c r="A4" s="173" t="s">
        <v>114</v>
      </c>
      <c r="B4" s="173"/>
      <c r="C4" s="174" t="s">
        <v>115</v>
      </c>
      <c r="D4" s="174" t="s">
        <v>116</v>
      </c>
      <c r="E4" s="174" t="s">
        <v>117</v>
      </c>
      <c r="F4" s="174" t="s">
        <v>118</v>
      </c>
      <c r="G4" s="174" t="s">
        <v>119</v>
      </c>
      <c r="H4" s="171" t="s">
        <v>131</v>
      </c>
      <c r="I4" s="174" t="s">
        <v>132</v>
      </c>
      <c r="J4" s="174" t="s">
        <v>133</v>
      </c>
      <c r="K4" s="174" t="s">
        <v>134</v>
      </c>
      <c r="L4" s="174" t="s">
        <v>135</v>
      </c>
    </row>
    <row r="5" spans="1:12" x14ac:dyDescent="0.2">
      <c r="A5" s="156"/>
      <c r="B5" s="156"/>
      <c r="C5" s="203" t="s">
        <v>228</v>
      </c>
      <c r="D5" s="203" t="s">
        <v>228</v>
      </c>
      <c r="E5" s="203" t="s">
        <v>228</v>
      </c>
      <c r="F5" s="203" t="s">
        <v>228</v>
      </c>
      <c r="G5" s="203" t="s">
        <v>228</v>
      </c>
      <c r="H5" s="204" t="s">
        <v>229</v>
      </c>
      <c r="I5" s="203" t="s">
        <v>229</v>
      </c>
      <c r="J5" s="203" t="s">
        <v>229</v>
      </c>
      <c r="K5" s="203" t="s">
        <v>229</v>
      </c>
      <c r="L5" s="203" t="s">
        <v>229</v>
      </c>
    </row>
    <row r="6" spans="1:12" x14ac:dyDescent="0.2">
      <c r="H6" s="54"/>
    </row>
    <row r="7" spans="1:12" x14ac:dyDescent="0.2">
      <c r="A7" s="159" t="s">
        <v>230</v>
      </c>
      <c r="B7" s="159"/>
      <c r="C7" s="159"/>
      <c r="D7" s="159"/>
      <c r="E7" s="159"/>
      <c r="F7" s="159"/>
      <c r="G7" s="159"/>
      <c r="H7" s="176"/>
      <c r="I7" s="159"/>
      <c r="J7" s="159"/>
      <c r="K7" s="159"/>
      <c r="L7" s="159"/>
    </row>
    <row r="8" spans="1:12" x14ac:dyDescent="0.2">
      <c r="A8" s="1" t="s">
        <v>165</v>
      </c>
      <c r="C8" s="2"/>
      <c r="D8" s="2"/>
      <c r="E8" s="2"/>
      <c r="F8" s="35">
        <f>Historicals!F121</f>
        <v>8110</v>
      </c>
      <c r="G8" s="35">
        <f>Historicals!G121</f>
        <v>10348</v>
      </c>
      <c r="H8" s="98">
        <f>G8*(1+Assumptions!H7)*(1+Assumptions!H8)</f>
        <v>11511.1152</v>
      </c>
      <c r="I8" s="4">
        <f>H8*(1+Assumptions!I7)*(1+Assumptions!I8)</f>
        <v>12686.400061920001</v>
      </c>
      <c r="J8" s="4">
        <f>I8*(1+Assumptions!J7)*(1+Assumptions!J8)</f>
        <v>14049.553748573306</v>
      </c>
      <c r="K8" s="4">
        <f>J8*(1+Assumptions!K7)*(1+Assumptions!K8)</f>
        <v>15486.471858208639</v>
      </c>
      <c r="L8" s="4">
        <f>K8*(1+Assumptions!L7)*(1+Assumptions!L8)</f>
        <v>16990.208275640696</v>
      </c>
    </row>
    <row r="9" spans="1:12" x14ac:dyDescent="0.2">
      <c r="A9" s="10" t="s">
        <v>166</v>
      </c>
      <c r="B9" s="10"/>
      <c r="C9" s="93"/>
      <c r="D9" s="93"/>
      <c r="E9" s="93"/>
      <c r="F9" s="93"/>
      <c r="G9" s="94">
        <f>G8/F8-1</f>
        <v>0.27595561035758331</v>
      </c>
      <c r="H9" s="99">
        <f>H8/G8-1</f>
        <v>0.11240000000000006</v>
      </c>
      <c r="I9" s="94">
        <f>I8/H8-1</f>
        <v>0.10210000000000008</v>
      </c>
      <c r="J9" s="94">
        <f>J8/I8-1</f>
        <v>0.10745000000000005</v>
      </c>
      <c r="K9" s="94">
        <f>K8/J8-1</f>
        <v>0.10227499999999989</v>
      </c>
      <c r="L9" s="94">
        <f>L8/K8-1</f>
        <v>9.7099999999999964E-2</v>
      </c>
    </row>
    <row r="10" spans="1:12" x14ac:dyDescent="0.2">
      <c r="A10" s="1" t="s">
        <v>167</v>
      </c>
      <c r="C10" s="2"/>
      <c r="D10" s="2"/>
      <c r="E10" s="2"/>
      <c r="F10" s="35">
        <f>Historicals!F122</f>
        <v>2721</v>
      </c>
      <c r="G10" s="35">
        <f>Historicals!G122</f>
        <v>3263</v>
      </c>
      <c r="H10" s="98">
        <f>G10*(1+Assumptions!H9)*(1+Assumptions!H10)</f>
        <v>3714.9254999999998</v>
      </c>
      <c r="I10" s="4">
        <f>H10*(1+Assumptions!I9)*(1+Assumptions!I10)</f>
        <v>4155.887156849999</v>
      </c>
      <c r="J10" s="4">
        <f>I10*(1+Assumptions!J9)*(1+Assumptions!J10)</f>
        <v>4608.047679515279</v>
      </c>
      <c r="K10" s="4">
        <f>J10*(1+Assumptions!K9)*(1+Assumptions!K10)</f>
        <v>5063.7835950193412</v>
      </c>
      <c r="L10" s="4">
        <f>K10*(1+Assumptions!L9)*(1+Assumptions!L10)</f>
        <v>5514.4603349760637</v>
      </c>
    </row>
    <row r="11" spans="1:12" x14ac:dyDescent="0.2">
      <c r="A11" s="10" t="s">
        <v>166</v>
      </c>
      <c r="B11" s="10"/>
      <c r="C11" s="93"/>
      <c r="D11" s="93"/>
      <c r="E11" s="93"/>
      <c r="F11" s="93"/>
      <c r="G11" s="94">
        <f>G10/F10-1</f>
        <v>0.19919147372289592</v>
      </c>
      <c r="H11" s="99">
        <f>H10/G10-1</f>
        <v>0.13849999999999985</v>
      </c>
      <c r="I11" s="94">
        <f>I10/H10-1</f>
        <v>0.11869999999999981</v>
      </c>
      <c r="J11" s="94">
        <f>J10/I10-1</f>
        <v>0.10880000000000001</v>
      </c>
      <c r="K11" s="94">
        <f>K10/J10-1</f>
        <v>9.890000000000021E-2</v>
      </c>
      <c r="L11" s="94">
        <f>L10/K10-1</f>
        <v>8.900000000000019E-2</v>
      </c>
    </row>
    <row r="12" spans="1:12" x14ac:dyDescent="0.2">
      <c r="A12" s="9" t="s">
        <v>0</v>
      </c>
      <c r="B12" s="9"/>
      <c r="C12" s="37">
        <f>Historicals!C6</f>
        <v>9512</v>
      </c>
      <c r="D12" s="37">
        <f>Historicals!D6</f>
        <v>9764</v>
      </c>
      <c r="E12" s="37">
        <f>Historicals!E6</f>
        <v>9653</v>
      </c>
      <c r="F12" s="37">
        <f>Historicals!F6</f>
        <v>10831</v>
      </c>
      <c r="G12" s="37">
        <f>Historicals!G6</f>
        <v>13611</v>
      </c>
      <c r="H12" s="100">
        <f>H8+H10</f>
        <v>15226.0407</v>
      </c>
      <c r="I12" s="12">
        <f>I8+I10</f>
        <v>16842.287218770001</v>
      </c>
      <c r="J12" s="12">
        <f>J8+J10</f>
        <v>18657.601428088587</v>
      </c>
      <c r="K12" s="12">
        <f>K8+K10</f>
        <v>20550.255453227979</v>
      </c>
      <c r="L12" s="12">
        <f>L8+L10</f>
        <v>22504.668610616762</v>
      </c>
    </row>
    <row r="13" spans="1:12" x14ac:dyDescent="0.2">
      <c r="A13" s="10" t="s">
        <v>166</v>
      </c>
      <c r="B13" s="10"/>
      <c r="C13" s="93"/>
      <c r="D13" s="94">
        <f>D12/C12-1</f>
        <v>2.6492851135407891E-2</v>
      </c>
      <c r="E13" s="94">
        <f>E12/D12-1</f>
        <v>-1.1368291683736209E-2</v>
      </c>
      <c r="F13" s="94">
        <f>F12/E12-1</f>
        <v>0.12203460064228744</v>
      </c>
      <c r="G13" s="94">
        <f>G12/F12-1</f>
        <v>0.25667066752839074</v>
      </c>
      <c r="H13" s="99">
        <f>H12/G12-1</f>
        <v>0.11865702005730649</v>
      </c>
      <c r="I13" s="94">
        <f>I12/H12-1</f>
        <v>0.10615015095618396</v>
      </c>
      <c r="J13" s="94">
        <f>J12/I12-1</f>
        <v>0.10778311673105168</v>
      </c>
      <c r="K13" s="94">
        <f>K12/J12-1</f>
        <v>0.10144144371580621</v>
      </c>
      <c r="L13" s="94">
        <f>L12/K12-1</f>
        <v>9.5104080912132405E-2</v>
      </c>
    </row>
    <row r="14" spans="1:12" x14ac:dyDescent="0.2">
      <c r="C14" s="2"/>
      <c r="D14" s="2"/>
      <c r="E14" s="2"/>
      <c r="F14" s="2"/>
      <c r="G14" s="2"/>
      <c r="H14" s="101"/>
      <c r="I14" s="2"/>
      <c r="J14" s="2"/>
      <c r="K14" s="2"/>
      <c r="L14" s="2"/>
    </row>
    <row r="15" spans="1:12" x14ac:dyDescent="0.2">
      <c r="A15" s="159" t="s">
        <v>120</v>
      </c>
      <c r="B15" s="159"/>
      <c r="C15" s="175"/>
      <c r="D15" s="175"/>
      <c r="E15" s="175"/>
      <c r="F15" s="175"/>
      <c r="G15" s="175"/>
      <c r="H15" s="177"/>
      <c r="I15" s="175"/>
      <c r="J15" s="175"/>
      <c r="K15" s="175"/>
      <c r="L15" s="175"/>
    </row>
    <row r="16" spans="1:12" x14ac:dyDescent="0.2">
      <c r="A16" s="1" t="s">
        <v>0</v>
      </c>
      <c r="C16" s="4">
        <f>C12</f>
        <v>9512</v>
      </c>
      <c r="D16" s="4">
        <f>D12</f>
        <v>9764</v>
      </c>
      <c r="E16" s="4">
        <f>E12</f>
        <v>9653</v>
      </c>
      <c r="F16" s="4">
        <f>F12</f>
        <v>10831</v>
      </c>
      <c r="G16" s="4">
        <f>G12</f>
        <v>13611</v>
      </c>
      <c r="H16" s="98">
        <f>H12</f>
        <v>15226.0407</v>
      </c>
      <c r="I16" s="4">
        <f>I12</f>
        <v>16842.287218770001</v>
      </c>
      <c r="J16" s="4">
        <f>J12</f>
        <v>18657.601428088587</v>
      </c>
      <c r="K16" s="4">
        <f>K12</f>
        <v>20550.255453227979</v>
      </c>
      <c r="L16" s="4">
        <f>L12</f>
        <v>22504.668610616762</v>
      </c>
    </row>
    <row r="17" spans="1:12" x14ac:dyDescent="0.2">
      <c r="A17" s="1" t="s">
        <v>168</v>
      </c>
      <c r="C17" s="2"/>
      <c r="D17" s="35">
        <f>Historicals!D9+Historicals!D10+Historicals!D11</f>
        <v>5351</v>
      </c>
      <c r="E17" s="35">
        <f>Historicals!E9+Historicals!E10+Historicals!E11</f>
        <v>4748</v>
      </c>
      <c r="F17" s="35">
        <f>Historicals!F9+Historicals!F10+Historicals!F11</f>
        <v>5388</v>
      </c>
      <c r="G17" s="35">
        <f>Historicals!G9+Historicals!G10+Historicals!G11</f>
        <v>7559</v>
      </c>
      <c r="H17" s="98">
        <f>H16*Assumptions!H11</f>
        <v>8145.9317744999998</v>
      </c>
      <c r="I17" s="4">
        <f>I16*Assumptions!I11</f>
        <v>8842.2007898542506</v>
      </c>
      <c r="J17" s="4">
        <f>J16*Assumptions!J11</f>
        <v>9701.9527426060649</v>
      </c>
      <c r="K17" s="4">
        <f>K16*Assumptions!K11</f>
        <v>10686.132835678549</v>
      </c>
      <c r="L17" s="4">
        <f>L16*Assumptions!L11</f>
        <v>11702.427677520716</v>
      </c>
    </row>
    <row r="18" spans="1:12" x14ac:dyDescent="0.2">
      <c r="A18" s="9" t="s">
        <v>169</v>
      </c>
      <c r="B18" s="9"/>
      <c r="C18" s="11"/>
      <c r="D18" s="12">
        <f>D16-D17</f>
        <v>4413</v>
      </c>
      <c r="E18" s="12">
        <f>E16-E17</f>
        <v>4905</v>
      </c>
      <c r="F18" s="12">
        <f>F16-F17</f>
        <v>5443</v>
      </c>
      <c r="G18" s="12">
        <f>G16-G17</f>
        <v>6052</v>
      </c>
      <c r="H18" s="100">
        <f>H16-H17</f>
        <v>7080.1089254999997</v>
      </c>
      <c r="I18" s="12">
        <f>I16-I17</f>
        <v>8000.0864289157507</v>
      </c>
      <c r="J18" s="12">
        <f>J16-J17</f>
        <v>8955.6486854825216</v>
      </c>
      <c r="K18" s="12">
        <f>K16-K17</f>
        <v>9864.1226175494303</v>
      </c>
      <c r="L18" s="12">
        <f>L16-L17</f>
        <v>10802.240933096045</v>
      </c>
    </row>
    <row r="19" spans="1:12" x14ac:dyDescent="0.2">
      <c r="A19" s="10" t="s">
        <v>170</v>
      </c>
      <c r="B19" s="10"/>
      <c r="C19" s="93"/>
      <c r="D19" s="94">
        <f>D18/D16</f>
        <v>0.45196640721015979</v>
      </c>
      <c r="E19" s="94">
        <f>E18/E16</f>
        <v>0.50813218688490625</v>
      </c>
      <c r="F19" s="94">
        <f>F18/F16</f>
        <v>0.50253900840180965</v>
      </c>
      <c r="G19" s="94">
        <f>G18/G16</f>
        <v>0.44464036441113802</v>
      </c>
      <c r="H19" s="99">
        <f>H18/H16</f>
        <v>0.46499999999999997</v>
      </c>
      <c r="I19" s="94">
        <f>I18/I16</f>
        <v>0.47499999999999998</v>
      </c>
      <c r="J19" s="94">
        <f>J18/J16</f>
        <v>0.48</v>
      </c>
      <c r="K19" s="94">
        <f>K18/K16</f>
        <v>0.48000000000000004</v>
      </c>
      <c r="L19" s="94">
        <f>L18/L16</f>
        <v>0.48</v>
      </c>
    </row>
    <row r="20" spans="1:12" x14ac:dyDescent="0.2">
      <c r="A20" s="1" t="s">
        <v>141</v>
      </c>
      <c r="C20" s="2"/>
      <c r="D20" s="35">
        <f>Historicals!D15</f>
        <v>842</v>
      </c>
      <c r="E20" s="35">
        <f>Historicals!E15</f>
        <v>952</v>
      </c>
      <c r="F20" s="35">
        <f>Historicals!F15</f>
        <v>1128</v>
      </c>
      <c r="G20" s="35">
        <f>Historicals!G15</f>
        <v>1301</v>
      </c>
      <c r="H20" s="98">
        <f>H16*Assumptions!H12</f>
        <v>1568.2821921</v>
      </c>
      <c r="I20" s="4">
        <f>I16*Assumptions!I12</f>
        <v>1734.7555835333101</v>
      </c>
      <c r="J20" s="4">
        <f>J16*Assumptions!J12</f>
        <v>1921.7329470931243</v>
      </c>
      <c r="K20" s="4">
        <f>K16*Assumptions!K12</f>
        <v>2116.6763116824818</v>
      </c>
      <c r="L20" s="4">
        <f>L16*Assumptions!L12</f>
        <v>2317.9808668935261</v>
      </c>
    </row>
    <row r="21" spans="1:12" x14ac:dyDescent="0.2">
      <c r="A21" s="1" t="s">
        <v>142</v>
      </c>
      <c r="C21" s="2"/>
      <c r="D21" s="35">
        <f>Historicals!D12</f>
        <v>653</v>
      </c>
      <c r="E21" s="35">
        <f>Historicals!E12</f>
        <v>743</v>
      </c>
      <c r="F21" s="35">
        <f>Historicals!F12</f>
        <v>831</v>
      </c>
      <c r="G21" s="35">
        <f>Historicals!G12</f>
        <v>916</v>
      </c>
      <c r="H21" s="98">
        <f>H16*Assumptions!H13</f>
        <v>1035.3707676000001</v>
      </c>
      <c r="I21" s="4">
        <f>I16*Assumptions!I13</f>
        <v>1145.2755308763601</v>
      </c>
      <c r="J21" s="4">
        <f>J16*Assumptions!J13</f>
        <v>1268.7168971100239</v>
      </c>
      <c r="K21" s="4">
        <f>K16*Assumptions!K13</f>
        <v>1397.4173708195026</v>
      </c>
      <c r="L21" s="4">
        <f>L16*Assumptions!L13</f>
        <v>1530.31746552194</v>
      </c>
    </row>
    <row r="22" spans="1:12" x14ac:dyDescent="0.2">
      <c r="A22" s="1" t="s">
        <v>9</v>
      </c>
      <c r="C22" s="2"/>
      <c r="D22" s="35">
        <f>Historicals!D16</f>
        <v>1108</v>
      </c>
      <c r="E22" s="35">
        <f>Historicals!E16</f>
        <v>1184</v>
      </c>
      <c r="F22" s="35">
        <f>Historicals!F16</f>
        <v>1345</v>
      </c>
      <c r="G22" s="35">
        <f>Historicals!G16</f>
        <v>1507</v>
      </c>
      <c r="H22" s="98">
        <f>H16*Assumptions!H14</f>
        <v>1720.5425991</v>
      </c>
      <c r="I22" s="4">
        <f>I16*Assumptions!I14</f>
        <v>1903.1784557210101</v>
      </c>
      <c r="J22" s="4">
        <f>J16*Assumptions!J14</f>
        <v>2108.3089613740103</v>
      </c>
      <c r="K22" s="4">
        <f>K16*Assumptions!K14</f>
        <v>2322.1788662147619</v>
      </c>
      <c r="L22" s="4">
        <f>L16*Assumptions!L14</f>
        <v>2543.0275529996943</v>
      </c>
    </row>
    <row r="23" spans="1:12" x14ac:dyDescent="0.2">
      <c r="A23" s="9" t="s">
        <v>171</v>
      </c>
      <c r="B23" s="9"/>
      <c r="C23" s="37">
        <f>Historicals!C25</f>
        <v>1681</v>
      </c>
      <c r="D23" s="12">
        <f>D18-D20-D21-D22</f>
        <v>1810</v>
      </c>
      <c r="E23" s="12">
        <f>E18-E20-E21-E22</f>
        <v>2026</v>
      </c>
      <c r="F23" s="12">
        <f>F18-F20-F21-F22</f>
        <v>2139</v>
      </c>
      <c r="G23" s="12">
        <f>G18-G20-G21-G22</f>
        <v>2328</v>
      </c>
      <c r="H23" s="100">
        <f>H18-H20-H21-H22</f>
        <v>2755.9133666999987</v>
      </c>
      <c r="I23" s="12">
        <f>I18-I20-I21-I22</f>
        <v>3216.8768587850709</v>
      </c>
      <c r="J23" s="12">
        <f>J18-J20-J21-J22</f>
        <v>3656.8898799053632</v>
      </c>
      <c r="K23" s="12">
        <f>K18-K20-K21-K22</f>
        <v>4027.8500688326831</v>
      </c>
      <c r="L23" s="12">
        <f>L18-L20-L21-L22</f>
        <v>4410.9150476808854</v>
      </c>
    </row>
    <row r="24" spans="1:12" x14ac:dyDescent="0.2">
      <c r="A24" s="10" t="s">
        <v>172</v>
      </c>
      <c r="B24" s="10"/>
      <c r="C24" s="94">
        <f>C23/C16</f>
        <v>0.17672413793103448</v>
      </c>
      <c r="D24" s="94">
        <f>D23/D16</f>
        <v>0.18537484637443671</v>
      </c>
      <c r="E24" s="94">
        <f>E23/E16</f>
        <v>0.20988293794675231</v>
      </c>
      <c r="F24" s="94">
        <f>F23/F16</f>
        <v>0.19748868987166468</v>
      </c>
      <c r="G24" s="94">
        <f>G23/G16</f>
        <v>0.17103813092351774</v>
      </c>
      <c r="H24" s="99">
        <f>H23/H16</f>
        <v>0.18099999999999991</v>
      </c>
      <c r="I24" s="94">
        <f>I23/I16</f>
        <v>0.19100000000000003</v>
      </c>
      <c r="J24" s="94">
        <f>J23/J16</f>
        <v>0.19600000000000001</v>
      </c>
      <c r="K24" s="94">
        <f>K23/K16</f>
        <v>0.19599999999999995</v>
      </c>
      <c r="L24" s="94">
        <f>L23/L16</f>
        <v>0.19600000000000001</v>
      </c>
    </row>
    <row r="25" spans="1:12" x14ac:dyDescent="0.2">
      <c r="A25" s="1" t="s">
        <v>7</v>
      </c>
      <c r="C25" s="2"/>
      <c r="D25" s="35">
        <f>Historicals!D14</f>
        <v>155</v>
      </c>
      <c r="E25" s="35">
        <f>Historicals!E14</f>
        <v>158</v>
      </c>
      <c r="F25" s="35">
        <f>Historicals!F14</f>
        <v>178</v>
      </c>
      <c r="G25" s="35">
        <f>Historicals!G14</f>
        <v>202</v>
      </c>
      <c r="H25" s="98">
        <f>H16*Assumptions!H15</f>
        <v>236.00363084999998</v>
      </c>
      <c r="I25" s="4">
        <f>I16*Assumptions!I15</f>
        <v>261.05545189093505</v>
      </c>
      <c r="J25" s="4">
        <f>J16*Assumptions!J15</f>
        <v>289.19282213537309</v>
      </c>
      <c r="K25" s="4">
        <f>K16*Assumptions!K15</f>
        <v>318.52895952503366</v>
      </c>
      <c r="L25" s="4">
        <f>L16*Assumptions!L15</f>
        <v>348.82236346455983</v>
      </c>
    </row>
    <row r="26" spans="1:12" x14ac:dyDescent="0.2">
      <c r="A26" s="9" t="s">
        <v>173</v>
      </c>
      <c r="B26" s="9"/>
      <c r="C26" s="11"/>
      <c r="D26" s="12">
        <f>D23-D25</f>
        <v>1655</v>
      </c>
      <c r="E26" s="12">
        <f>E23-E25</f>
        <v>1868</v>
      </c>
      <c r="F26" s="12">
        <f>F23-F25</f>
        <v>1961</v>
      </c>
      <c r="G26" s="12">
        <f>G23-G25</f>
        <v>2126</v>
      </c>
      <c r="H26" s="100">
        <f>H23-H25</f>
        <v>2519.9097358499989</v>
      </c>
      <c r="I26" s="12">
        <f>I23-I25</f>
        <v>2955.8214068941361</v>
      </c>
      <c r="J26" s="12">
        <f>J23-J25</f>
        <v>3367.6970577699899</v>
      </c>
      <c r="K26" s="12">
        <f>K23-K25</f>
        <v>3709.3211093076493</v>
      </c>
      <c r="L26" s="12">
        <f>L23-L25</f>
        <v>4062.0926842163258</v>
      </c>
    </row>
    <row r="27" spans="1:12" x14ac:dyDescent="0.2">
      <c r="A27" s="10" t="s">
        <v>174</v>
      </c>
      <c r="B27" s="10"/>
      <c r="C27" s="93"/>
      <c r="D27" s="94">
        <f>D26/D16</f>
        <v>0.1695002048340844</v>
      </c>
      <c r="E27" s="94">
        <f>E26/E16</f>
        <v>0.19351496943955246</v>
      </c>
      <c r="F27" s="94">
        <f>F26/F16</f>
        <v>0.18105438094358786</v>
      </c>
      <c r="G27" s="94">
        <f>G26/G16</f>
        <v>0.15619719344647712</v>
      </c>
      <c r="H27" s="99">
        <f>H26/H16</f>
        <v>0.16549999999999992</v>
      </c>
      <c r="I27" s="94">
        <f>I26/I16</f>
        <v>0.17550000000000004</v>
      </c>
      <c r="J27" s="94">
        <f>J26/J16</f>
        <v>0.18049999999999999</v>
      </c>
      <c r="K27" s="94">
        <f>K26/K16</f>
        <v>0.18049999999999997</v>
      </c>
      <c r="L27" s="94">
        <f>L26/L16</f>
        <v>0.18050000000000002</v>
      </c>
    </row>
    <row r="28" spans="1:12" x14ac:dyDescent="0.2">
      <c r="A28" s="1" t="s">
        <v>1</v>
      </c>
      <c r="C28" s="2"/>
      <c r="D28" s="35">
        <f>Historicals!D7</f>
        <v>144</v>
      </c>
      <c r="E28" s="35">
        <f>Historicals!E7</f>
        <v>142</v>
      </c>
      <c r="F28" s="35">
        <f>Historicals!F7</f>
        <v>208</v>
      </c>
      <c r="G28" s="35">
        <f>Historicals!G7</f>
        <v>204</v>
      </c>
      <c r="H28" s="98">
        <f>Assumptions!H26*(G40+G41)</f>
        <v>180.32000000000002</v>
      </c>
      <c r="I28" s="4">
        <f>Assumptions!I26*(H40+H41)</f>
        <v>177.63763408215141</v>
      </c>
      <c r="J28" s="4">
        <f>Assumptions!J26*(I40+I41)</f>
        <v>193.51517200372626</v>
      </c>
      <c r="K28" s="4">
        <f>Assumptions!K26*(J40+J41)</f>
        <v>211.97057831620435</v>
      </c>
      <c r="L28" s="4">
        <f>Assumptions!L26*(K40+K41)</f>
        <v>232.92516443498116</v>
      </c>
    </row>
    <row r="29" spans="1:12" x14ac:dyDescent="0.2">
      <c r="A29" s="1" t="s">
        <v>6</v>
      </c>
      <c r="C29" s="2"/>
      <c r="D29" s="35">
        <f>Historicals!D13</f>
        <v>56</v>
      </c>
      <c r="E29" s="35">
        <f>Historicals!E13</f>
        <v>73</v>
      </c>
      <c r="F29" s="35">
        <f>Historicals!F13</f>
        <v>53</v>
      </c>
      <c r="G29" s="35">
        <f>Historicals!G13</f>
        <v>53</v>
      </c>
      <c r="H29" s="98">
        <f>Assumptions!H27*(G51+G52)</f>
        <v>50.129999999999995</v>
      </c>
      <c r="I29" s="4">
        <f>Assumptions!I27*(H51+H52)</f>
        <v>50.129999999999995</v>
      </c>
      <c r="J29" s="4">
        <f>Assumptions!J27*(I51+I52)</f>
        <v>50.129999999999995</v>
      </c>
      <c r="K29" s="4">
        <f>Assumptions!K27*(J51+J52)</f>
        <v>50.129999999999995</v>
      </c>
      <c r="L29" s="4">
        <f>Assumptions!L27*(K51+K52)</f>
        <v>50.129999999999995</v>
      </c>
    </row>
    <row r="30" spans="1:12" x14ac:dyDescent="0.2">
      <c r="A30" s="9" t="s">
        <v>56</v>
      </c>
      <c r="B30" s="9"/>
      <c r="C30" s="11"/>
      <c r="D30" s="12">
        <f>D26+D28-D29</f>
        <v>1743</v>
      </c>
      <c r="E30" s="12">
        <f>E26+E28-E29</f>
        <v>1937</v>
      </c>
      <c r="F30" s="12">
        <f>F26+F28-F29</f>
        <v>2116</v>
      </c>
      <c r="G30" s="12">
        <f>G26+G28-G29</f>
        <v>2277</v>
      </c>
      <c r="H30" s="100">
        <f>H26+H28-H29</f>
        <v>2650.099735849999</v>
      </c>
      <c r="I30" s="12">
        <f>I26+I28-I29</f>
        <v>3083.3290409762876</v>
      </c>
      <c r="J30" s="12">
        <f>J26+J28-J29</f>
        <v>3511.0822297737159</v>
      </c>
      <c r="K30" s="12">
        <f>K26+K28-K29</f>
        <v>3871.1616876238536</v>
      </c>
      <c r="L30" s="12">
        <f>L26+L28-L29</f>
        <v>4244.8878486513067</v>
      </c>
    </row>
    <row r="31" spans="1:12" x14ac:dyDescent="0.2">
      <c r="A31" s="1" t="s">
        <v>175</v>
      </c>
      <c r="C31" s="2"/>
      <c r="D31" s="35">
        <f>Historicals!D21</f>
        <v>421</v>
      </c>
      <c r="E31" s="35">
        <f>Historicals!E21</f>
        <v>435</v>
      </c>
      <c r="F31" s="35">
        <f>Historicals!F21</f>
        <v>458</v>
      </c>
      <c r="G31" s="35">
        <f>Historicals!G21</f>
        <v>464</v>
      </c>
      <c r="H31" s="98">
        <f>H30*Assumptions!H22</f>
        <v>609.52293924549974</v>
      </c>
      <c r="I31" s="4">
        <f>I30*Assumptions!I22</f>
        <v>709.16567942454617</v>
      </c>
      <c r="J31" s="4">
        <f>J30*Assumptions!J22</f>
        <v>807.54891284795474</v>
      </c>
      <c r="K31" s="4">
        <f>K30*Assumptions!K22</f>
        <v>890.36718815348638</v>
      </c>
      <c r="L31" s="4">
        <f>L30*Assumptions!L22</f>
        <v>976.32420518980064</v>
      </c>
    </row>
    <row r="32" spans="1:12" x14ac:dyDescent="0.2">
      <c r="A32" s="10" t="s">
        <v>176</v>
      </c>
      <c r="B32" s="10"/>
      <c r="C32" s="93"/>
      <c r="D32" s="94">
        <f>D31/D30</f>
        <v>0.24153757888697647</v>
      </c>
      <c r="E32" s="94">
        <f>E31/E30</f>
        <v>0.22457408363448633</v>
      </c>
      <c r="F32" s="94">
        <f>F31/F30</f>
        <v>0.21644612476370512</v>
      </c>
      <c r="G32" s="94">
        <f>G31/G30</f>
        <v>0.20377689942907334</v>
      </c>
      <c r="H32" s="99">
        <f>H31/H30</f>
        <v>0.22999999999999998</v>
      </c>
      <c r="I32" s="94">
        <f>I31/I30</f>
        <v>0.23</v>
      </c>
      <c r="J32" s="94">
        <f>J31/J30</f>
        <v>0.23000000000000004</v>
      </c>
      <c r="K32" s="94">
        <f>K31/K30</f>
        <v>0.23</v>
      </c>
      <c r="L32" s="94">
        <f>L31/L30</f>
        <v>0.23</v>
      </c>
    </row>
    <row r="33" spans="1:12" x14ac:dyDescent="0.2">
      <c r="A33" s="9" t="s">
        <v>177</v>
      </c>
      <c r="B33" s="9"/>
      <c r="C33" s="11"/>
      <c r="D33" s="12">
        <f>D30-D31</f>
        <v>1322</v>
      </c>
      <c r="E33" s="12">
        <f>E30-E31</f>
        <v>1502</v>
      </c>
      <c r="F33" s="12">
        <f>F30-F31</f>
        <v>1658</v>
      </c>
      <c r="G33" s="12">
        <f>G30-G31</f>
        <v>1813</v>
      </c>
      <c r="H33" s="100">
        <f>H30-H31</f>
        <v>2040.5767966044991</v>
      </c>
      <c r="I33" s="12">
        <f>I30-I31</f>
        <v>2374.1633615517412</v>
      </c>
      <c r="J33" s="12">
        <f>J30-J31</f>
        <v>2703.533316925761</v>
      </c>
      <c r="K33" s="12">
        <f>K30-K31</f>
        <v>2980.7944994703671</v>
      </c>
      <c r="L33" s="12">
        <f>L30-L31</f>
        <v>3268.5636434615062</v>
      </c>
    </row>
    <row r="34" spans="1:12" x14ac:dyDescent="0.2">
      <c r="A34" s="1" t="s">
        <v>39</v>
      </c>
      <c r="C34" s="2"/>
      <c r="D34" s="35">
        <f>Historicals!D24</f>
        <v>20</v>
      </c>
      <c r="E34" s="35">
        <f>Historicals!E24</f>
        <v>21</v>
      </c>
      <c r="F34" s="35">
        <f>Historicals!F24</f>
        <v>29</v>
      </c>
      <c r="G34" s="35">
        <f>Historicals!G24</f>
        <v>51</v>
      </c>
      <c r="H34" s="98">
        <f>H33*Assumptions!H23</f>
        <v>51.014419915112484</v>
      </c>
      <c r="I34" s="4">
        <f>I33*Assumptions!I23</f>
        <v>59.35408403879353</v>
      </c>
      <c r="J34" s="4">
        <f>J33*Assumptions!J23</f>
        <v>67.588332923144023</v>
      </c>
      <c r="K34" s="4">
        <f>K33*Assumptions!K23</f>
        <v>74.51986248675918</v>
      </c>
      <c r="L34" s="4">
        <f>L33*Assumptions!L23</f>
        <v>81.714091086537664</v>
      </c>
    </row>
    <row r="35" spans="1:12" x14ac:dyDescent="0.2">
      <c r="A35" s="9" t="s">
        <v>178</v>
      </c>
      <c r="B35" s="9"/>
      <c r="C35" s="11"/>
      <c r="D35" s="12">
        <f>D33-D34</f>
        <v>1302</v>
      </c>
      <c r="E35" s="12">
        <f>E33-E34</f>
        <v>1481</v>
      </c>
      <c r="F35" s="12">
        <f>F33-F34</f>
        <v>1629</v>
      </c>
      <c r="G35" s="12">
        <f>G33-G34</f>
        <v>1762</v>
      </c>
      <c r="H35" s="100">
        <f>H33-H34</f>
        <v>1989.5623766893866</v>
      </c>
      <c r="I35" s="12">
        <f>I33-I34</f>
        <v>2314.8092775129476</v>
      </c>
      <c r="J35" s="12">
        <f>J33-J34</f>
        <v>2635.9449840026168</v>
      </c>
      <c r="K35" s="12">
        <f>K33-K34</f>
        <v>2906.2746369836077</v>
      </c>
      <c r="L35" s="12">
        <f>L33-L34</f>
        <v>3186.8495523749684</v>
      </c>
    </row>
    <row r="36" spans="1:12" x14ac:dyDescent="0.2">
      <c r="A36" s="10" t="s">
        <v>179</v>
      </c>
      <c r="B36" s="10"/>
      <c r="C36" s="93"/>
      <c r="D36" s="94">
        <f>D35/D16</f>
        <v>0.13334698893895944</v>
      </c>
      <c r="E36" s="94">
        <f>E35/E16</f>
        <v>0.15342380607065162</v>
      </c>
      <c r="F36" s="94">
        <f>F35/F16</f>
        <v>0.15040162496537715</v>
      </c>
      <c r="G36" s="94">
        <f>G35/G16</f>
        <v>0.12945411799279993</v>
      </c>
      <c r="H36" s="99">
        <f>H35/H16</f>
        <v>0.13066840000561583</v>
      </c>
      <c r="I36" s="94">
        <f>I35/I16</f>
        <v>0.13744031600014472</v>
      </c>
      <c r="J36" s="94">
        <f>J35/J16</f>
        <v>0.14127994930978977</v>
      </c>
      <c r="K36" s="94">
        <f>K35/K16</f>
        <v>0.14142279854370851</v>
      </c>
      <c r="L36" s="94">
        <f>L35/L16</f>
        <v>0.14160837502275178</v>
      </c>
    </row>
    <row r="37" spans="1:12" x14ac:dyDescent="0.2">
      <c r="A37" s="1" t="s">
        <v>180</v>
      </c>
      <c r="C37" s="5"/>
      <c r="D37" s="91">
        <f>Historicals!D26</f>
        <v>10.050000000000001</v>
      </c>
      <c r="E37" s="91">
        <f>Historicals!E26</f>
        <v>11.43</v>
      </c>
      <c r="F37" s="91">
        <f>Historicals!F26</f>
        <v>12.56</v>
      </c>
      <c r="G37" s="91">
        <f>Historicals!G26</f>
        <v>13.59</v>
      </c>
      <c r="H37" s="102">
        <f>H35*10/WACC!$C$20</f>
        <v>15.292991232930115</v>
      </c>
      <c r="I37" s="92">
        <f>I35*10/WACC!$C$20</f>
        <v>17.793037504969643</v>
      </c>
      <c r="J37" s="92">
        <f>J35*10/WACC!$C$20</f>
        <v>20.261482627107206</v>
      </c>
      <c r="K37" s="92">
        <f>K35*10/WACC!$C$20</f>
        <v>22.339401400339398</v>
      </c>
      <c r="L37" s="92">
        <f>L35*10/WACC!$C$20</f>
        <v>24.496071516106305</v>
      </c>
    </row>
    <row r="38" spans="1:12" x14ac:dyDescent="0.2">
      <c r="C38" s="2"/>
      <c r="D38" s="2"/>
      <c r="E38" s="2"/>
      <c r="F38" s="2"/>
      <c r="G38" s="2"/>
      <c r="H38" s="101"/>
      <c r="I38" s="2"/>
      <c r="J38" s="2"/>
      <c r="K38" s="2"/>
      <c r="L38" s="2"/>
    </row>
    <row r="39" spans="1:12" x14ac:dyDescent="0.2">
      <c r="A39" s="159" t="s">
        <v>231</v>
      </c>
      <c r="B39" s="159"/>
      <c r="C39" s="175"/>
      <c r="D39" s="175"/>
      <c r="E39" s="175"/>
      <c r="F39" s="175"/>
      <c r="G39" s="175"/>
      <c r="H39" s="177"/>
      <c r="I39" s="175"/>
      <c r="J39" s="175"/>
      <c r="K39" s="175"/>
      <c r="L39" s="175"/>
    </row>
    <row r="40" spans="1:12" x14ac:dyDescent="0.2">
      <c r="A40" s="1" t="s">
        <v>29</v>
      </c>
      <c r="C40" s="2"/>
      <c r="D40" s="35">
        <f>Historicals!D45</f>
        <v>207</v>
      </c>
      <c r="E40" s="35">
        <f>Historicals!E45</f>
        <v>228</v>
      </c>
      <c r="F40" s="35">
        <f>Historicals!F45</f>
        <v>321</v>
      </c>
      <c r="G40" s="35">
        <f>Historicals!G45</f>
        <v>404</v>
      </c>
      <c r="H40" s="98">
        <f>H82</f>
        <v>365.6804868878769</v>
      </c>
      <c r="I40" s="4">
        <f>I82</f>
        <v>592.50245719608915</v>
      </c>
      <c r="J40" s="4">
        <f>J82</f>
        <v>856.15111880291875</v>
      </c>
      <c r="K40" s="4">
        <f>K82</f>
        <v>1155.5023490711594</v>
      </c>
      <c r="L40" s="4">
        <f>L82</f>
        <v>1493.4248221604146</v>
      </c>
    </row>
    <row r="41" spans="1:12" x14ac:dyDescent="0.2">
      <c r="A41" s="1" t="s">
        <v>181</v>
      </c>
      <c r="C41" s="2"/>
      <c r="D41" s="35">
        <f>Historicals!D35+Historicals!D43+Historicals!D46</f>
        <v>1645</v>
      </c>
      <c r="E41" s="35">
        <f>Historicals!E35+Historicals!E43+Historicals!E46</f>
        <v>1317</v>
      </c>
      <c r="F41" s="35">
        <f>Historicals!F35+Historicals!F43+Historicals!F46</f>
        <v>2046</v>
      </c>
      <c r="G41" s="35">
        <f>Historicals!G35+Historicals!G43+Historicals!G46</f>
        <v>2172</v>
      </c>
      <c r="H41" s="98">
        <f>G41</f>
        <v>2172</v>
      </c>
      <c r="I41" s="4">
        <f>H41</f>
        <v>2172</v>
      </c>
      <c r="J41" s="4">
        <f>I41</f>
        <v>2172</v>
      </c>
      <c r="K41" s="4">
        <f>J41</f>
        <v>2172</v>
      </c>
      <c r="L41" s="4">
        <f>K41</f>
        <v>2172</v>
      </c>
    </row>
    <row r="42" spans="1:12" x14ac:dyDescent="0.2">
      <c r="A42" s="1" t="s">
        <v>28</v>
      </c>
      <c r="C42" s="2"/>
      <c r="D42" s="35">
        <f>Historicals!D44</f>
        <v>1015</v>
      </c>
      <c r="E42" s="35">
        <f>Historicals!E44</f>
        <v>1069</v>
      </c>
      <c r="F42" s="35">
        <f>Historicals!F44</f>
        <v>1271</v>
      </c>
      <c r="G42" s="35">
        <f>Historicals!G44</f>
        <v>1304</v>
      </c>
      <c r="H42" s="98">
        <f>H16*Assumptions!H17/365</f>
        <v>1543.4616599999999</v>
      </c>
      <c r="I42" s="4">
        <f>I16*Assumptions!I17/365</f>
        <v>1707.3003482040824</v>
      </c>
      <c r="J42" s="4">
        <f>J16*Assumptions!J17/365</f>
        <v>1891.318500929528</v>
      </c>
      <c r="K42" s="4">
        <f>K16*Assumptions!K17/365</f>
        <v>2083.1765801902334</v>
      </c>
      <c r="L42" s="4">
        <f>L16*Assumptions!L17/365</f>
        <v>2281.2951742269047</v>
      </c>
    </row>
    <row r="43" spans="1:12" x14ac:dyDescent="0.2">
      <c r="A43" s="1" t="s">
        <v>26</v>
      </c>
      <c r="C43" s="2"/>
      <c r="D43" s="35">
        <f>Historicals!D42</f>
        <v>1225</v>
      </c>
      <c r="E43" s="35">
        <f>Historicals!E42</f>
        <v>1336</v>
      </c>
      <c r="F43" s="35">
        <f>Historicals!F42</f>
        <v>1235</v>
      </c>
      <c r="G43" s="35">
        <f>Historicals!G42</f>
        <v>1611</v>
      </c>
      <c r="H43" s="98">
        <f>H17*Assumptions!H18/365</f>
        <v>1785.4097039999999</v>
      </c>
      <c r="I43" s="4">
        <f>I17*Assumptions!I18/365</f>
        <v>1938.0166114749043</v>
      </c>
      <c r="J43" s="4">
        <f>J17*Assumptions!J18/365</f>
        <v>2126.4553956396853</v>
      </c>
      <c r="K43" s="4">
        <f>K17*Assumptions!K18/365</f>
        <v>2342.1661009706409</v>
      </c>
      <c r="L43" s="4">
        <f>L17*Assumptions!L18/365</f>
        <v>2564.9156553470066</v>
      </c>
    </row>
    <row r="44" spans="1:12" x14ac:dyDescent="0.2">
      <c r="A44" s="1" t="s">
        <v>149</v>
      </c>
      <c r="C44" s="2"/>
      <c r="D44" s="35">
        <f>SUM(Historicals!D47:D50)</f>
        <v>246</v>
      </c>
      <c r="E44" s="35">
        <f>SUM(Historicals!E47:E50)</f>
        <v>396</v>
      </c>
      <c r="F44" s="35">
        <f>SUM(Historicals!F47:F50)</f>
        <v>419</v>
      </c>
      <c r="G44" s="35">
        <f>SUM(Historicals!G47:G50)</f>
        <v>504</v>
      </c>
      <c r="H44" s="98">
        <f>H16*Assumptions!H20</f>
        <v>563.36350589999995</v>
      </c>
      <c r="I44" s="4">
        <f>I16*Assumptions!I20</f>
        <v>623.16462709449002</v>
      </c>
      <c r="J44" s="4">
        <f>J16*Assumptions!J20</f>
        <v>690.33125283927768</v>
      </c>
      <c r="K44" s="4">
        <f>K16*Assumptions!K20</f>
        <v>760.35945176943517</v>
      </c>
      <c r="L44" s="4">
        <f>L16*Assumptions!L20</f>
        <v>832.67273859282011</v>
      </c>
    </row>
    <row r="45" spans="1:12" x14ac:dyDescent="0.2">
      <c r="A45" s="1" t="s">
        <v>182</v>
      </c>
      <c r="C45" s="2"/>
      <c r="D45" s="35">
        <f>SUM(Historicals!D29:D32)</f>
        <v>891</v>
      </c>
      <c r="E45" s="35">
        <f>SUM(Historicals!E29:E32)</f>
        <v>968</v>
      </c>
      <c r="F45" s="35">
        <f>SUM(Historicals!F29:F32)</f>
        <v>995</v>
      </c>
      <c r="G45" s="35">
        <f>SUM(Historicals!G29:G32)</f>
        <v>1184</v>
      </c>
      <c r="H45" s="98">
        <f>G45+H16*Assumptions!H16-H25</f>
        <v>1282.9692645499999</v>
      </c>
      <c r="I45" s="4">
        <f>H45+I16*Assumptions!I16-I25</f>
        <v>1392.444131472005</v>
      </c>
      <c r="J45" s="4">
        <f>I45+J16*Assumptions!J16-J25</f>
        <v>1513.7185407545808</v>
      </c>
      <c r="K45" s="4">
        <f>J45+K16*Assumptions!K16-K25</f>
        <v>1647.2952012005626</v>
      </c>
      <c r="L45" s="4">
        <f>K45+L16*Assumptions!L16-L25</f>
        <v>1793.5755471695713</v>
      </c>
    </row>
    <row r="46" spans="1:12" x14ac:dyDescent="0.2">
      <c r="A46" s="1" t="s">
        <v>183</v>
      </c>
      <c r="C46" s="2"/>
      <c r="D46" s="35">
        <f>Historicals!D33+Historicals!D34</f>
        <v>1422</v>
      </c>
      <c r="E46" s="35">
        <f>Historicals!E33+Historicals!E34</f>
        <v>1800</v>
      </c>
      <c r="F46" s="35">
        <f>Historicals!F33+Historicals!F34</f>
        <v>1803</v>
      </c>
      <c r="G46" s="35">
        <f>Historicals!G33+Historicals!G34</f>
        <v>2534</v>
      </c>
      <c r="H46" s="98">
        <f>G46</f>
        <v>2534</v>
      </c>
      <c r="I46" s="4">
        <f>H46</f>
        <v>2534</v>
      </c>
      <c r="J46" s="4">
        <f>I46</f>
        <v>2534</v>
      </c>
      <c r="K46" s="4">
        <f>J46</f>
        <v>2534</v>
      </c>
      <c r="L46" s="4">
        <f>K46</f>
        <v>2534</v>
      </c>
    </row>
    <row r="47" spans="1:12" x14ac:dyDescent="0.2">
      <c r="A47" s="1" t="s">
        <v>184</v>
      </c>
      <c r="C47" s="2"/>
      <c r="D47" s="35">
        <f>SUM(Historicals!D36:D40)</f>
        <v>295</v>
      </c>
      <c r="E47" s="35">
        <f>SUM(Historicals!E36:E40)</f>
        <v>307</v>
      </c>
      <c r="F47" s="35">
        <f>SUM(Historicals!F36:F40)</f>
        <v>242</v>
      </c>
      <c r="G47" s="35">
        <f>SUM(Historicals!G36:G40)</f>
        <v>362</v>
      </c>
      <c r="H47" s="98">
        <f>G47</f>
        <v>362</v>
      </c>
      <c r="I47" s="4">
        <f>H47</f>
        <v>362</v>
      </c>
      <c r="J47" s="4">
        <f>I47</f>
        <v>362</v>
      </c>
      <c r="K47" s="4">
        <f>J47</f>
        <v>362</v>
      </c>
      <c r="L47" s="4">
        <f>K47</f>
        <v>362</v>
      </c>
    </row>
    <row r="48" spans="1:12" ht="17" thickBot="1" x14ac:dyDescent="0.25">
      <c r="A48" s="9" t="s">
        <v>93</v>
      </c>
      <c r="B48" s="9"/>
      <c r="C48" s="13"/>
      <c r="D48" s="14">
        <f>SUM(D40:D47)</f>
        <v>6946</v>
      </c>
      <c r="E48" s="14">
        <f>SUM(E40:E47)</f>
        <v>7421</v>
      </c>
      <c r="F48" s="14">
        <f>SUM(F40:F47)</f>
        <v>8332</v>
      </c>
      <c r="G48" s="14">
        <f>SUM(G40:G47)</f>
        <v>10075</v>
      </c>
      <c r="H48" s="103">
        <f>SUM(H40:H47)</f>
        <v>10608.884621337877</v>
      </c>
      <c r="I48" s="14">
        <f>SUM(I40:I47)</f>
        <v>11321.428175441572</v>
      </c>
      <c r="J48" s="14">
        <f>SUM(J40:J47)</f>
        <v>12145.97480896599</v>
      </c>
      <c r="K48" s="14">
        <f>SUM(K40:K47)</f>
        <v>13056.49968320203</v>
      </c>
      <c r="L48" s="14">
        <f>SUM(L40:L47)</f>
        <v>14033.883937496719</v>
      </c>
    </row>
    <row r="49" spans="1:12" ht="17" thickTop="1" x14ac:dyDescent="0.2">
      <c r="A49" s="1" t="s">
        <v>48</v>
      </c>
      <c r="C49" s="2"/>
      <c r="D49" s="35">
        <f>Historicals!D69</f>
        <v>1452</v>
      </c>
      <c r="E49" s="35">
        <f>Historicals!E69</f>
        <v>1581</v>
      </c>
      <c r="F49" s="35">
        <f>Historicals!F69</f>
        <v>1306</v>
      </c>
      <c r="G49" s="35">
        <f>Historicals!G69</f>
        <v>1634</v>
      </c>
      <c r="H49" s="98">
        <f>H17*Assumptions!H19/365</f>
        <v>1785.4097039999999</v>
      </c>
      <c r="I49" s="4">
        <f>I17*Assumptions!I19/365</f>
        <v>1938.0166114749043</v>
      </c>
      <c r="J49" s="4">
        <f>J17*Assumptions!J19/365</f>
        <v>2126.4553956396853</v>
      </c>
      <c r="K49" s="4">
        <f>K17*Assumptions!K19/365</f>
        <v>2342.1661009706409</v>
      </c>
      <c r="L49" s="4">
        <f>L17*Assumptions!L19/365</f>
        <v>2564.9156553470066</v>
      </c>
    </row>
    <row r="50" spans="1:12" x14ac:dyDescent="0.2">
      <c r="A50" s="1" t="s">
        <v>185</v>
      </c>
      <c r="C50" s="2"/>
      <c r="D50" s="35">
        <f>Historicals!D70-Historicals!D79+SUM(Historicals!D71:D74)</f>
        <v>462</v>
      </c>
      <c r="E50" s="35">
        <f>Historicals!E70-Historicals!E79+SUM(Historicals!E71:E74)</f>
        <v>439</v>
      </c>
      <c r="F50" s="35">
        <f>Historicals!F70-Historicals!F79+SUM(Historicals!F71:F74)</f>
        <v>535</v>
      </c>
      <c r="G50" s="35">
        <f>Historicals!G70-Historicals!G79+SUM(Historicals!G71:G74)</f>
        <v>929</v>
      </c>
      <c r="H50" s="98">
        <f>H16*Assumptions!H21</f>
        <v>913.56244199999992</v>
      </c>
      <c r="I50" s="4">
        <f>I16*Assumptions!I21</f>
        <v>1010.5372331262</v>
      </c>
      <c r="J50" s="4">
        <f>J16*Assumptions!J21</f>
        <v>1119.4560856853152</v>
      </c>
      <c r="K50" s="4">
        <f>K16*Assumptions!K21</f>
        <v>1233.0153271936788</v>
      </c>
      <c r="L50" s="4">
        <f>L16*Assumptions!L21</f>
        <v>1350.2801166370057</v>
      </c>
    </row>
    <row r="51" spans="1:12" x14ac:dyDescent="0.2">
      <c r="A51" s="1" t="s">
        <v>186</v>
      </c>
      <c r="C51" s="2"/>
      <c r="D51" s="35">
        <f>Historicals!D60+Historicals!D67</f>
        <v>475</v>
      </c>
      <c r="E51" s="35">
        <f>Historicals!E60+Historicals!E67</f>
        <v>383</v>
      </c>
      <c r="F51" s="35">
        <f>Historicals!F60+Historicals!F67</f>
        <v>379</v>
      </c>
      <c r="G51" s="35">
        <f>Historicals!G60+Historicals!G67</f>
        <v>355</v>
      </c>
      <c r="H51" s="98">
        <f>G51+Assumptions!H28</f>
        <v>355</v>
      </c>
      <c r="I51" s="4">
        <f>H51+Assumptions!I28</f>
        <v>355</v>
      </c>
      <c r="J51" s="4">
        <f>I51+Assumptions!J28</f>
        <v>355</v>
      </c>
      <c r="K51" s="4">
        <f>J51+Assumptions!K28</f>
        <v>355</v>
      </c>
      <c r="L51" s="4">
        <f>K51+Assumptions!L28</f>
        <v>355</v>
      </c>
    </row>
    <row r="52" spans="1:12" x14ac:dyDescent="0.2">
      <c r="A52" s="1" t="s">
        <v>187</v>
      </c>
      <c r="C52" s="2"/>
      <c r="D52" s="35">
        <f>Historicals!D61+Historicals!D68</f>
        <v>133</v>
      </c>
      <c r="E52" s="35">
        <f>Historicals!E61+Historicals!E68</f>
        <v>145</v>
      </c>
      <c r="F52" s="35">
        <f>Historicals!F61+Historicals!F68</f>
        <v>175</v>
      </c>
      <c r="G52" s="35">
        <f>Historicals!G61+Historicals!G68</f>
        <v>202</v>
      </c>
      <c r="H52" s="98">
        <f>G52</f>
        <v>202</v>
      </c>
      <c r="I52" s="4">
        <f>H52</f>
        <v>202</v>
      </c>
      <c r="J52" s="4">
        <f>I52</f>
        <v>202</v>
      </c>
      <c r="K52" s="4">
        <f>J52</f>
        <v>202</v>
      </c>
      <c r="L52" s="4">
        <f>K52</f>
        <v>202</v>
      </c>
    </row>
    <row r="53" spans="1:12" x14ac:dyDescent="0.2">
      <c r="A53" s="1" t="s">
        <v>188</v>
      </c>
      <c r="C53" s="2"/>
      <c r="D53" s="35">
        <f>Historicals!D80</f>
        <v>266</v>
      </c>
      <c r="E53" s="35">
        <f>Historicals!E80</f>
        <v>405</v>
      </c>
      <c r="F53" s="35">
        <f>Historicals!F80</f>
        <v>1395</v>
      </c>
      <c r="G53" s="35">
        <f>Historicals!G80</f>
        <v>2055</v>
      </c>
      <c r="H53" s="98">
        <f>G53</f>
        <v>2055</v>
      </c>
      <c r="I53" s="4">
        <f>H53</f>
        <v>2055</v>
      </c>
      <c r="J53" s="4">
        <f>I53</f>
        <v>2055</v>
      </c>
      <c r="K53" s="4">
        <f>J53</f>
        <v>2055</v>
      </c>
      <c r="L53" s="4">
        <f>K53</f>
        <v>2055</v>
      </c>
    </row>
    <row r="54" spans="1:12" x14ac:dyDescent="0.2">
      <c r="A54" s="1" t="s">
        <v>189</v>
      </c>
      <c r="C54" s="2"/>
      <c r="D54" s="35">
        <f>SUM(Historicals!D63:D65)</f>
        <v>202</v>
      </c>
      <c r="E54" s="35">
        <f>SUM(Historicals!E63:E65)</f>
        <v>299</v>
      </c>
      <c r="F54" s="35">
        <f>SUM(Historicals!F63:F65)</f>
        <v>276</v>
      </c>
      <c r="G54" s="35">
        <f>SUM(Historicals!G63:G65)</f>
        <v>406</v>
      </c>
      <c r="H54" s="98">
        <f>G54</f>
        <v>406</v>
      </c>
      <c r="I54" s="4">
        <f>H54</f>
        <v>406</v>
      </c>
      <c r="J54" s="4">
        <f>I54</f>
        <v>406</v>
      </c>
      <c r="K54" s="4">
        <f>J54</f>
        <v>406</v>
      </c>
      <c r="L54" s="4">
        <f>K54</f>
        <v>406</v>
      </c>
    </row>
    <row r="55" spans="1:12" x14ac:dyDescent="0.2">
      <c r="A55" s="9" t="s">
        <v>98</v>
      </c>
      <c r="B55" s="9"/>
      <c r="C55" s="11"/>
      <c r="D55" s="12">
        <f>SUM(D49:D54)</f>
        <v>2990</v>
      </c>
      <c r="E55" s="12">
        <f>SUM(E49:E54)</f>
        <v>3252</v>
      </c>
      <c r="F55" s="12">
        <f>SUM(F49:F54)</f>
        <v>4066</v>
      </c>
      <c r="G55" s="12">
        <f>SUM(G49:G54)</f>
        <v>5581</v>
      </c>
      <c r="H55" s="100">
        <f>SUM(H49:H54)</f>
        <v>5716.9721460000001</v>
      </c>
      <c r="I55" s="12">
        <f>SUM(I49:I54)</f>
        <v>5966.5538446011042</v>
      </c>
      <c r="J55" s="12">
        <f>SUM(J49:J54)</f>
        <v>6263.9114813250008</v>
      </c>
      <c r="K55" s="12">
        <f>SUM(K49:K54)</f>
        <v>6593.1814281643201</v>
      </c>
      <c r="L55" s="12">
        <f>SUM(L49:L54)</f>
        <v>6933.195771984012</v>
      </c>
    </row>
    <row r="56" spans="1:12" x14ac:dyDescent="0.2">
      <c r="A56" s="1" t="s">
        <v>94</v>
      </c>
      <c r="C56" s="2"/>
      <c r="D56" s="35">
        <f>Historicals!D57</f>
        <v>3799</v>
      </c>
      <c r="E56" s="35">
        <f>Historicals!E57</f>
        <v>3832</v>
      </c>
      <c r="F56" s="35">
        <f>Historicals!F57</f>
        <v>3975</v>
      </c>
      <c r="G56" s="35">
        <f>Historicals!G57</f>
        <v>4210</v>
      </c>
      <c r="H56" s="98">
        <f>G56+H35+H75</f>
        <v>4607.9124753378774</v>
      </c>
      <c r="I56" s="4">
        <f>H56+I35+I75</f>
        <v>5070.8743308404664</v>
      </c>
      <c r="J56" s="4">
        <f>I56+J35+J75</f>
        <v>5598.0633276409899</v>
      </c>
      <c r="K56" s="4">
        <f>J56+K35+K75</f>
        <v>6179.3182550377114</v>
      </c>
      <c r="L56" s="4">
        <f>K56+L35+L75</f>
        <v>6816.6881655127045</v>
      </c>
    </row>
    <row r="57" spans="1:12" x14ac:dyDescent="0.2">
      <c r="A57" s="1" t="s">
        <v>39</v>
      </c>
      <c r="C57" s="2"/>
      <c r="D57" s="35">
        <f>Historicals!D58</f>
        <v>157</v>
      </c>
      <c r="E57" s="35">
        <f>Historicals!E58</f>
        <v>337</v>
      </c>
      <c r="F57" s="35">
        <f>Historicals!F58</f>
        <v>291</v>
      </c>
      <c r="G57" s="35">
        <f>Historicals!G58</f>
        <v>284</v>
      </c>
      <c r="H57" s="98">
        <f>G57+H34+H76</f>
        <v>284</v>
      </c>
      <c r="I57" s="4">
        <f>H57+I34+I76</f>
        <v>284</v>
      </c>
      <c r="J57" s="4">
        <f>I57+J34+J76</f>
        <v>284</v>
      </c>
      <c r="K57" s="4">
        <f>J57+K34+K76</f>
        <v>284</v>
      </c>
      <c r="L57" s="4">
        <f>K57+L34+L76</f>
        <v>284</v>
      </c>
    </row>
    <row r="58" spans="1:12" x14ac:dyDescent="0.2">
      <c r="A58" s="9" t="s">
        <v>95</v>
      </c>
      <c r="B58" s="9"/>
      <c r="C58" s="11"/>
      <c r="D58" s="12">
        <f>D56+D57</f>
        <v>3956</v>
      </c>
      <c r="E58" s="12">
        <f>E56+E57</f>
        <v>4169</v>
      </c>
      <c r="F58" s="12">
        <f>F56+F57</f>
        <v>4266</v>
      </c>
      <c r="G58" s="12">
        <f>G56+G57</f>
        <v>4494</v>
      </c>
      <c r="H58" s="100">
        <f>H56+H57</f>
        <v>4891.9124753378774</v>
      </c>
      <c r="I58" s="12">
        <f>I56+I57</f>
        <v>5354.8743308404664</v>
      </c>
      <c r="J58" s="12">
        <f>J56+J57</f>
        <v>5882.0633276409899</v>
      </c>
      <c r="K58" s="12">
        <f>K56+K57</f>
        <v>6463.3182550377114</v>
      </c>
      <c r="L58" s="12">
        <f>L56+L57</f>
        <v>7100.6881655127045</v>
      </c>
    </row>
    <row r="59" spans="1:12" ht="17" thickBot="1" x14ac:dyDescent="0.25">
      <c r="A59" s="9" t="s">
        <v>190</v>
      </c>
      <c r="B59" s="9"/>
      <c r="C59" s="13"/>
      <c r="D59" s="14">
        <f>D55+D58</f>
        <v>6946</v>
      </c>
      <c r="E59" s="14">
        <f>E55+E58</f>
        <v>7421</v>
      </c>
      <c r="F59" s="14">
        <f>F55+F58</f>
        <v>8332</v>
      </c>
      <c r="G59" s="14">
        <f>G55+G58</f>
        <v>10075</v>
      </c>
      <c r="H59" s="103">
        <f>H55+H58</f>
        <v>10608.884621337878</v>
      </c>
      <c r="I59" s="14">
        <f>I55+I58</f>
        <v>11321.428175441572</v>
      </c>
      <c r="J59" s="14">
        <f>J55+J58</f>
        <v>12145.974808965992</v>
      </c>
      <c r="K59" s="14">
        <f>K55+K58</f>
        <v>13056.499683202032</v>
      </c>
      <c r="L59" s="14">
        <f>L55+L58</f>
        <v>14033.883937496717</v>
      </c>
    </row>
    <row r="60" spans="1:12" ht="17" thickTop="1" x14ac:dyDescent="0.2">
      <c r="A60" s="95" t="s">
        <v>191</v>
      </c>
      <c r="B60" s="95"/>
      <c r="C60" s="96"/>
      <c r="D60" s="97">
        <f>ROUND(D48-D59,3)</f>
        <v>0</v>
      </c>
      <c r="E60" s="97">
        <f>ROUND(E48-E59,3)</f>
        <v>0</v>
      </c>
      <c r="F60" s="97">
        <f>ROUND(F48-F59,3)</f>
        <v>0</v>
      </c>
      <c r="G60" s="97">
        <f>ROUND(G48-G59,3)</f>
        <v>0</v>
      </c>
      <c r="H60" s="104">
        <f>ROUND(H48-H59,3)</f>
        <v>0</v>
      </c>
      <c r="I60" s="97">
        <f>ROUND(I48-I59,3)</f>
        <v>0</v>
      </c>
      <c r="J60" s="97">
        <f>ROUND(J48-J59,3)</f>
        <v>0</v>
      </c>
      <c r="K60" s="97">
        <f>ROUND(K48-K59,3)</f>
        <v>0</v>
      </c>
      <c r="L60" s="97">
        <f>ROUND(L48-L59,3)</f>
        <v>0</v>
      </c>
    </row>
    <row r="61" spans="1:12" x14ac:dyDescent="0.2">
      <c r="C61" s="2"/>
      <c r="D61" s="2"/>
      <c r="E61" s="2"/>
      <c r="F61" s="2"/>
      <c r="G61" s="2"/>
      <c r="H61" s="101"/>
      <c r="I61" s="2"/>
      <c r="J61" s="2"/>
      <c r="K61" s="2"/>
      <c r="L61" s="2"/>
    </row>
    <row r="62" spans="1:12" x14ac:dyDescent="0.2">
      <c r="A62" s="159" t="s">
        <v>122</v>
      </c>
      <c r="B62" s="159"/>
      <c r="C62" s="175"/>
      <c r="D62" s="175"/>
      <c r="E62" s="175"/>
      <c r="F62" s="175"/>
      <c r="G62" s="175"/>
      <c r="H62" s="177"/>
      <c r="I62" s="175"/>
      <c r="J62" s="175"/>
      <c r="K62" s="175"/>
      <c r="L62" s="175"/>
    </row>
    <row r="63" spans="1:12" x14ac:dyDescent="0.2">
      <c r="A63" s="1" t="s">
        <v>177</v>
      </c>
      <c r="C63" s="2"/>
      <c r="D63" s="2"/>
      <c r="E63" s="2"/>
      <c r="F63" s="2"/>
      <c r="G63" s="2"/>
      <c r="H63" s="98">
        <f>H33</f>
        <v>2040.5767966044991</v>
      </c>
      <c r="I63" s="4">
        <f>I33</f>
        <v>2374.1633615517412</v>
      </c>
      <c r="J63" s="4">
        <f>J33</f>
        <v>2703.533316925761</v>
      </c>
      <c r="K63" s="4">
        <f>K33</f>
        <v>2980.7944994703671</v>
      </c>
      <c r="L63" s="4">
        <f>L33</f>
        <v>3268.5636434615062</v>
      </c>
    </row>
    <row r="64" spans="1:12" x14ac:dyDescent="0.2">
      <c r="A64" s="1" t="s">
        <v>7</v>
      </c>
      <c r="C64" s="2"/>
      <c r="D64" s="2"/>
      <c r="E64" s="2"/>
      <c r="F64" s="2"/>
      <c r="G64" s="2"/>
      <c r="H64" s="98">
        <f>H25</f>
        <v>236.00363084999998</v>
      </c>
      <c r="I64" s="4">
        <f>I25</f>
        <v>261.05545189093505</v>
      </c>
      <c r="J64" s="4">
        <f>J25</f>
        <v>289.19282213537309</v>
      </c>
      <c r="K64" s="4">
        <f>K25</f>
        <v>318.52895952503366</v>
      </c>
      <c r="L64" s="4">
        <f>L25</f>
        <v>348.82236346455983</v>
      </c>
    </row>
    <row r="65" spans="1:12" x14ac:dyDescent="0.2">
      <c r="A65" s="1" t="s">
        <v>192</v>
      </c>
      <c r="C65" s="2"/>
      <c r="D65" s="2"/>
      <c r="E65" s="2"/>
      <c r="F65" s="2"/>
      <c r="G65" s="2"/>
      <c r="H65" s="98">
        <f>G42-H42</f>
        <v>-239.46165999999994</v>
      </c>
      <c r="I65" s="4">
        <f>H42-I42</f>
        <v>-163.83868820408247</v>
      </c>
      <c r="J65" s="4">
        <f>I42-J42</f>
        <v>-184.01815272544559</v>
      </c>
      <c r="K65" s="4">
        <f>J42-K42</f>
        <v>-191.85807926070538</v>
      </c>
      <c r="L65" s="4">
        <f>K42-L42</f>
        <v>-198.11859403667131</v>
      </c>
    </row>
    <row r="66" spans="1:12" x14ac:dyDescent="0.2">
      <c r="A66" s="1" t="s">
        <v>193</v>
      </c>
      <c r="C66" s="2"/>
      <c r="D66" s="2"/>
      <c r="E66" s="2"/>
      <c r="F66" s="2"/>
      <c r="G66" s="2"/>
      <c r="H66" s="98">
        <f>G43-H43</f>
        <v>-174.40970399999992</v>
      </c>
      <c r="I66" s="4">
        <f>H43-I43</f>
        <v>-152.60690747490435</v>
      </c>
      <c r="J66" s="4">
        <f>I43-J43</f>
        <v>-188.43878416478105</v>
      </c>
      <c r="K66" s="4">
        <f>J43-K43</f>
        <v>-215.71070533095553</v>
      </c>
      <c r="L66" s="4">
        <f>K43-L43</f>
        <v>-222.74955437636572</v>
      </c>
    </row>
    <row r="67" spans="1:12" x14ac:dyDescent="0.2">
      <c r="A67" s="1" t="s">
        <v>194</v>
      </c>
      <c r="C67" s="2"/>
      <c r="D67" s="2"/>
      <c r="E67" s="2"/>
      <c r="F67" s="2"/>
      <c r="G67" s="2"/>
      <c r="H67" s="98">
        <f>G44-H44</f>
        <v>-59.36350589999995</v>
      </c>
      <c r="I67" s="4">
        <f>H44-I44</f>
        <v>-59.801121194490065</v>
      </c>
      <c r="J67" s="4">
        <f>I44-J44</f>
        <v>-67.166625744787666</v>
      </c>
      <c r="K67" s="4">
        <f>J44-K44</f>
        <v>-70.028198930157487</v>
      </c>
      <c r="L67" s="4">
        <f>K44-L44</f>
        <v>-72.313286823384942</v>
      </c>
    </row>
    <row r="68" spans="1:12" x14ac:dyDescent="0.2">
      <c r="A68" s="1" t="s">
        <v>195</v>
      </c>
      <c r="C68" s="2"/>
      <c r="D68" s="2"/>
      <c r="E68" s="2"/>
      <c r="F68" s="2"/>
      <c r="G68" s="2"/>
      <c r="H68" s="98">
        <f>H49-G49</f>
        <v>151.40970399999992</v>
      </c>
      <c r="I68" s="4">
        <f>I49-H49</f>
        <v>152.60690747490435</v>
      </c>
      <c r="J68" s="4">
        <f>J49-I49</f>
        <v>188.43878416478105</v>
      </c>
      <c r="K68" s="4">
        <f>K49-J49</f>
        <v>215.71070533095553</v>
      </c>
      <c r="L68" s="4">
        <f>L49-K49</f>
        <v>222.74955437636572</v>
      </c>
    </row>
    <row r="69" spans="1:12" x14ac:dyDescent="0.2">
      <c r="A69" s="1" t="s">
        <v>196</v>
      </c>
      <c r="C69" s="2"/>
      <c r="D69" s="2"/>
      <c r="E69" s="2"/>
      <c r="F69" s="2"/>
      <c r="G69" s="2"/>
      <c r="H69" s="98">
        <f>H50-G50</f>
        <v>-15.437558000000081</v>
      </c>
      <c r="I69" s="4">
        <f>I50-H50</f>
        <v>96.974791126200103</v>
      </c>
      <c r="J69" s="4">
        <f>J50-I50</f>
        <v>108.91885255911518</v>
      </c>
      <c r="K69" s="4">
        <f>K50-J50</f>
        <v>113.55924150836358</v>
      </c>
      <c r="L69" s="4">
        <f>L50-K50</f>
        <v>117.26478944332689</v>
      </c>
    </row>
    <row r="70" spans="1:12" x14ac:dyDescent="0.2">
      <c r="A70" s="9" t="s">
        <v>197</v>
      </c>
      <c r="B70" s="9"/>
      <c r="C70" s="11"/>
      <c r="D70" s="37">
        <f>Historicals!D95</f>
        <v>1419</v>
      </c>
      <c r="E70" s="37">
        <f>Historicals!E95</f>
        <v>1436</v>
      </c>
      <c r="F70" s="37">
        <f>Historicals!F95</f>
        <v>1442</v>
      </c>
      <c r="G70" s="37">
        <f>Historicals!G95</f>
        <v>2085</v>
      </c>
      <c r="H70" s="100">
        <f>SUM(H63:H69)</f>
        <v>1939.3177035544988</v>
      </c>
      <c r="I70" s="12">
        <f>SUM(I63:I69)</f>
        <v>2508.5537951703041</v>
      </c>
      <c r="J70" s="12">
        <f>SUM(J63:J69)</f>
        <v>2850.460213150016</v>
      </c>
      <c r="K70" s="12">
        <f>SUM(K63:K69)</f>
        <v>3150.9964223129018</v>
      </c>
      <c r="L70" s="12">
        <f>SUM(L63:L69)</f>
        <v>3464.2189155093365</v>
      </c>
    </row>
    <row r="71" spans="1:12" x14ac:dyDescent="0.2">
      <c r="A71" s="1" t="s">
        <v>198</v>
      </c>
      <c r="C71" s="2"/>
      <c r="D71" s="35">
        <f>Historicals!D96</f>
        <v>-182</v>
      </c>
      <c r="E71" s="35">
        <f>Historicals!E96</f>
        <v>-153</v>
      </c>
      <c r="F71" s="35">
        <f>Historicals!F96</f>
        <v>-161</v>
      </c>
      <c r="G71" s="35">
        <f>Historicals!G96</f>
        <v>-319</v>
      </c>
      <c r="H71" s="98">
        <f>-H16*Assumptions!H16</f>
        <v>-334.97289539999997</v>
      </c>
      <c r="I71" s="4">
        <f>-I16*Assumptions!I16</f>
        <v>-370.53031881293998</v>
      </c>
      <c r="J71" s="4">
        <f>-J16*Assumptions!J16</f>
        <v>-410.46723141794888</v>
      </c>
      <c r="K71" s="4">
        <f>-K16*Assumptions!K16</f>
        <v>-452.10561997101553</v>
      </c>
      <c r="L71" s="4">
        <f>-L16*Assumptions!L16</f>
        <v>-495.10270943356875</v>
      </c>
    </row>
    <row r="72" spans="1:12" x14ac:dyDescent="0.2">
      <c r="A72" s="1" t="s">
        <v>199</v>
      </c>
      <c r="C72" s="2"/>
      <c r="D72" s="35">
        <f>Historicals!D102-Historicals!D96</f>
        <v>-683</v>
      </c>
      <c r="E72" s="35">
        <f>Historicals!E102-Historicals!E96</f>
        <v>329</v>
      </c>
      <c r="F72" s="35">
        <f>Historicals!F102-Historicals!F96</f>
        <v>-460</v>
      </c>
      <c r="G72" s="35">
        <f>Historicals!G102-Historicals!G96</f>
        <v>-403</v>
      </c>
      <c r="H72" s="98">
        <f>0</f>
        <v>0</v>
      </c>
      <c r="I72" s="4">
        <f>0</f>
        <v>0</v>
      </c>
      <c r="J72" s="4">
        <f>0</f>
        <v>0</v>
      </c>
      <c r="K72" s="4">
        <f>0</f>
        <v>0</v>
      </c>
      <c r="L72" s="4">
        <f>0</f>
        <v>0</v>
      </c>
    </row>
    <row r="73" spans="1:12" x14ac:dyDescent="0.2">
      <c r="A73" s="9" t="s">
        <v>200</v>
      </c>
      <c r="B73" s="9"/>
      <c r="C73" s="11"/>
      <c r="D73" s="12">
        <f>D71+D72</f>
        <v>-865</v>
      </c>
      <c r="E73" s="12">
        <f>E71+E72</f>
        <v>176</v>
      </c>
      <c r="F73" s="12">
        <f>F71+F72</f>
        <v>-621</v>
      </c>
      <c r="G73" s="12">
        <f>G71+G72</f>
        <v>-722</v>
      </c>
      <c r="H73" s="100">
        <f>H71+H72</f>
        <v>-334.97289539999997</v>
      </c>
      <c r="I73" s="12">
        <f>I71+I72</f>
        <v>-370.53031881293998</v>
      </c>
      <c r="J73" s="12">
        <f>J71+J72</f>
        <v>-410.46723141794888</v>
      </c>
      <c r="K73" s="12">
        <f>K71+K72</f>
        <v>-452.10561997101553</v>
      </c>
      <c r="L73" s="12">
        <f>L71+L72</f>
        <v>-495.10270943356875</v>
      </c>
    </row>
    <row r="74" spans="1:12" x14ac:dyDescent="0.2">
      <c r="A74" s="1" t="s">
        <v>159</v>
      </c>
      <c r="C74" s="2"/>
      <c r="D74" s="35">
        <f>Historicals!D105</f>
        <v>128</v>
      </c>
      <c r="E74" s="35">
        <f>Historicals!E105</f>
        <v>-91</v>
      </c>
      <c r="F74" s="35">
        <f>Historicals!F105</f>
        <v>-5</v>
      </c>
      <c r="G74" s="35">
        <f>Historicals!G105</f>
        <v>-24</v>
      </c>
      <c r="H74" s="98">
        <f>Assumptions!H28</f>
        <v>0</v>
      </c>
      <c r="I74" s="4">
        <f>Assumptions!I28</f>
        <v>0</v>
      </c>
      <c r="J74" s="4">
        <f>Assumptions!J28</f>
        <v>0</v>
      </c>
      <c r="K74" s="4">
        <f>Assumptions!K28</f>
        <v>0</v>
      </c>
      <c r="L74" s="4">
        <f>Assumptions!L28</f>
        <v>0</v>
      </c>
    </row>
    <row r="75" spans="1:12" x14ac:dyDescent="0.2">
      <c r="A75" s="1" t="s">
        <v>201</v>
      </c>
      <c r="C75" s="2"/>
      <c r="D75" s="35">
        <f>Historicals!D111</f>
        <v>-582</v>
      </c>
      <c r="E75" s="35">
        <f>Historicals!E111</f>
        <v>-1229</v>
      </c>
      <c r="F75" s="35">
        <f>Historicals!F111</f>
        <v>-453</v>
      </c>
      <c r="G75" s="35">
        <f>Historicals!G111</f>
        <v>-908</v>
      </c>
      <c r="H75" s="98">
        <f>-H35*Assumptions!H24</f>
        <v>-1591.6499013515095</v>
      </c>
      <c r="I75" s="4">
        <f>-I35*Assumptions!I24</f>
        <v>-1851.8474220103581</v>
      </c>
      <c r="J75" s="4">
        <f>-J35*Assumptions!J24</f>
        <v>-2108.7559872020934</v>
      </c>
      <c r="K75" s="4">
        <f>-K35*Assumptions!K24</f>
        <v>-2325.0197095868862</v>
      </c>
      <c r="L75" s="4">
        <f>-L35*Assumptions!L24</f>
        <v>-2549.4796418999749</v>
      </c>
    </row>
    <row r="76" spans="1:12" x14ac:dyDescent="0.2">
      <c r="A76" s="1" t="s">
        <v>202</v>
      </c>
      <c r="C76" s="2"/>
      <c r="D76" s="35">
        <f>Historicals!D106</f>
        <v>-25</v>
      </c>
      <c r="E76" s="35">
        <f>Historicals!E106</f>
        <v>0</v>
      </c>
      <c r="F76" s="35">
        <f>Historicals!F106</f>
        <v>-47</v>
      </c>
      <c r="G76" s="35">
        <f>Historicals!G106</f>
        <v>-81</v>
      </c>
      <c r="H76" s="98">
        <f>-H34*Assumptions!H25</f>
        <v>-51.014419915112484</v>
      </c>
      <c r="I76" s="4">
        <f>-I34*Assumptions!I25</f>
        <v>-59.35408403879353</v>
      </c>
      <c r="J76" s="4">
        <f>-J34*Assumptions!J25</f>
        <v>-67.588332923144023</v>
      </c>
      <c r="K76" s="4">
        <f>-K34*Assumptions!K25</f>
        <v>-74.51986248675918</v>
      </c>
      <c r="L76" s="4">
        <f>-L34*Assumptions!L25</f>
        <v>-81.714091086537664</v>
      </c>
    </row>
    <row r="77" spans="1:12" x14ac:dyDescent="0.2">
      <c r="A77" s="1" t="s">
        <v>203</v>
      </c>
      <c r="C77" s="2"/>
      <c r="D77" s="35">
        <f>Historicals!D112-Historicals!D105-Historicals!D111-Historicals!D106</f>
        <v>-81</v>
      </c>
      <c r="E77" s="35">
        <f>Historicals!E112-Historicals!E105-Historicals!E111-Historicals!E106</f>
        <v>-222</v>
      </c>
      <c r="F77" s="35">
        <f>Historicals!F112-Historicals!F105-Historicals!F111-Historicals!F106</f>
        <v>-144</v>
      </c>
      <c r="G77" s="35">
        <f>Historicals!G112-Historicals!G105-Historicals!G111-Historicals!G106</f>
        <v>-266</v>
      </c>
      <c r="H77" s="98">
        <f>0</f>
        <v>0</v>
      </c>
      <c r="I77" s="4">
        <f>0</f>
        <v>0</v>
      </c>
      <c r="J77" s="4">
        <f>0</f>
        <v>0</v>
      </c>
      <c r="K77" s="4">
        <f>0</f>
        <v>0</v>
      </c>
      <c r="L77" s="4">
        <f>0</f>
        <v>0</v>
      </c>
    </row>
    <row r="78" spans="1:12" x14ac:dyDescent="0.2">
      <c r="A78" s="9" t="s">
        <v>204</v>
      </c>
      <c r="B78" s="9"/>
      <c r="C78" s="11"/>
      <c r="D78" s="12">
        <f>SUM(D74:D77)</f>
        <v>-560</v>
      </c>
      <c r="E78" s="12">
        <f>SUM(E74:E77)</f>
        <v>-1542</v>
      </c>
      <c r="F78" s="12">
        <f>SUM(F74:F77)</f>
        <v>-649</v>
      </c>
      <c r="G78" s="12">
        <f>SUM(G74:G77)</f>
        <v>-1279</v>
      </c>
      <c r="H78" s="100">
        <f>SUM(H74:H77)</f>
        <v>-1642.664321266622</v>
      </c>
      <c r="I78" s="12">
        <f>SUM(I74:I77)</f>
        <v>-1911.2015060491517</v>
      </c>
      <c r="J78" s="12">
        <f>SUM(J74:J77)</f>
        <v>-2176.3443201252376</v>
      </c>
      <c r="K78" s="12">
        <f>SUM(K74:K77)</f>
        <v>-2399.5395720736456</v>
      </c>
      <c r="L78" s="12">
        <f>SUM(L74:L77)</f>
        <v>-2631.1937329865127</v>
      </c>
    </row>
    <row r="79" spans="1:12" x14ac:dyDescent="0.2">
      <c r="A79" s="1" t="s">
        <v>205</v>
      </c>
      <c r="C79" s="2"/>
      <c r="D79" s="35">
        <f>Historicals!D113</f>
        <v>-63</v>
      </c>
      <c r="E79" s="35">
        <f>Historicals!E113</f>
        <v>-49</v>
      </c>
      <c r="F79" s="35">
        <f>Historicals!F113</f>
        <v>-79</v>
      </c>
      <c r="G79" s="35">
        <f>Historicals!G113</f>
        <v>-1</v>
      </c>
      <c r="H79" s="98">
        <f>0</f>
        <v>0</v>
      </c>
      <c r="I79" s="4">
        <f>0</f>
        <v>0</v>
      </c>
      <c r="J79" s="4">
        <f>0</f>
        <v>0</v>
      </c>
      <c r="K79" s="4">
        <f>0</f>
        <v>0</v>
      </c>
      <c r="L79" s="4">
        <f>0</f>
        <v>0</v>
      </c>
    </row>
    <row r="80" spans="1:12" x14ac:dyDescent="0.2">
      <c r="A80" s="1" t="s">
        <v>206</v>
      </c>
      <c r="C80" s="2"/>
      <c r="D80" s="4">
        <f>D70+D73+D78+D79</f>
        <v>-69</v>
      </c>
      <c r="E80" s="4">
        <f>E70+E73+E78+E79</f>
        <v>21</v>
      </c>
      <c r="F80" s="4">
        <f>F70+F73+F78+F79</f>
        <v>93</v>
      </c>
      <c r="G80" s="4">
        <f>G70+G73+G78+G79</f>
        <v>83</v>
      </c>
      <c r="H80" s="98">
        <f>H70+H73+H78+H79</f>
        <v>-38.319513112123104</v>
      </c>
      <c r="I80" s="4">
        <f>I70+I73+I78+I79</f>
        <v>226.82197030821226</v>
      </c>
      <c r="J80" s="4">
        <f>J70+J73+J78+J79</f>
        <v>263.64866160682959</v>
      </c>
      <c r="K80" s="4">
        <f>K70+K73+K78+K79</f>
        <v>299.35123026824067</v>
      </c>
      <c r="L80" s="4">
        <f>L70+L73+L78+L79</f>
        <v>337.92247308925516</v>
      </c>
    </row>
    <row r="81" spans="1:12" x14ac:dyDescent="0.2">
      <c r="A81" s="1" t="s">
        <v>207</v>
      </c>
      <c r="C81" s="2"/>
      <c r="D81" s="35">
        <f>Historicals!D115</f>
        <v>276</v>
      </c>
      <c r="E81" s="35">
        <f>Historicals!E115</f>
        <v>207</v>
      </c>
      <c r="F81" s="35">
        <f>Historicals!F115</f>
        <v>228</v>
      </c>
      <c r="G81" s="35">
        <f>Historicals!G115</f>
        <v>321</v>
      </c>
      <c r="H81" s="98">
        <f>G82</f>
        <v>404</v>
      </c>
      <c r="I81" s="4">
        <f>H82</f>
        <v>365.6804868878769</v>
      </c>
      <c r="J81" s="4">
        <f>I82</f>
        <v>592.50245719608915</v>
      </c>
      <c r="K81" s="4">
        <f>J82</f>
        <v>856.15111880291875</v>
      </c>
      <c r="L81" s="4">
        <f>K82</f>
        <v>1155.5023490711594</v>
      </c>
    </row>
    <row r="82" spans="1:12" ht="17" thickBot="1" x14ac:dyDescent="0.25">
      <c r="A82" s="9" t="s">
        <v>208</v>
      </c>
      <c r="B82" s="9"/>
      <c r="C82" s="13"/>
      <c r="D82" s="14">
        <f>D81+D80</f>
        <v>207</v>
      </c>
      <c r="E82" s="14">
        <f>E81+E80</f>
        <v>228</v>
      </c>
      <c r="F82" s="14">
        <f>F81+F80</f>
        <v>321</v>
      </c>
      <c r="G82" s="14">
        <f>G81+G80</f>
        <v>404</v>
      </c>
      <c r="H82" s="103">
        <f>H81+H80</f>
        <v>365.6804868878769</v>
      </c>
      <c r="I82" s="14">
        <f>I81+I80</f>
        <v>592.50245719608915</v>
      </c>
      <c r="J82" s="14">
        <f>J81+J80</f>
        <v>856.15111880291875</v>
      </c>
      <c r="K82" s="14">
        <f>K81+K80</f>
        <v>1155.5023490711594</v>
      </c>
      <c r="L82" s="14">
        <f>L81+L80</f>
        <v>1493.4248221604146</v>
      </c>
    </row>
    <row r="83" spans="1:12" ht="17" thickTop="1" x14ac:dyDescent="0.2">
      <c r="A83" s="95" t="s">
        <v>209</v>
      </c>
      <c r="B83" s="95"/>
      <c r="C83" s="96"/>
      <c r="D83" s="97">
        <f>ROUND(D82-D40,3)</f>
        <v>0</v>
      </c>
      <c r="E83" s="97">
        <f>ROUND(E82-E40,3)</f>
        <v>0</v>
      </c>
      <c r="F83" s="97">
        <f>ROUND(F82-F40,3)</f>
        <v>0</v>
      </c>
      <c r="G83" s="97">
        <f>ROUND(G82-G40,3)</f>
        <v>0</v>
      </c>
      <c r="H83" s="104">
        <f>ROUND(H82-H40,3)</f>
        <v>0</v>
      </c>
      <c r="I83" s="97">
        <f>ROUND(I82-I40,3)</f>
        <v>0</v>
      </c>
      <c r="J83" s="97">
        <f>ROUND(J82-J40,3)</f>
        <v>0</v>
      </c>
      <c r="K83" s="97">
        <f>ROUND(K82-K40,3)</f>
        <v>0</v>
      </c>
      <c r="L83" s="97">
        <f>ROUND(L82-L40,3)</f>
        <v>0</v>
      </c>
    </row>
    <row r="84" spans="1:12" x14ac:dyDescent="0.2">
      <c r="C84" s="2"/>
      <c r="D84" s="2"/>
      <c r="E84" s="2"/>
      <c r="F84" s="2"/>
      <c r="G84" s="2"/>
      <c r="H84" s="101"/>
      <c r="I84" s="2"/>
      <c r="J84" s="2"/>
      <c r="K84" s="2"/>
      <c r="L84" s="2"/>
    </row>
    <row r="85" spans="1:12" x14ac:dyDescent="0.2">
      <c r="A85" s="159" t="s">
        <v>232</v>
      </c>
      <c r="B85" s="159"/>
      <c r="C85" s="175"/>
      <c r="D85" s="175"/>
      <c r="E85" s="175"/>
      <c r="F85" s="175"/>
      <c r="G85" s="175"/>
      <c r="H85" s="177"/>
      <c r="I85" s="175"/>
      <c r="J85" s="175"/>
      <c r="K85" s="175"/>
      <c r="L85" s="175"/>
    </row>
    <row r="86" spans="1:12" x14ac:dyDescent="0.2">
      <c r="A86" s="1" t="s">
        <v>144</v>
      </c>
      <c r="C86" s="89"/>
      <c r="D86" s="90">
        <f>D42/D16*365</f>
        <v>37.942953707496926</v>
      </c>
      <c r="E86" s="90">
        <f>E42/E16*365</f>
        <v>40.421112607479543</v>
      </c>
      <c r="F86" s="90">
        <f>F42/F16*365</f>
        <v>42.83214846274582</v>
      </c>
      <c r="G86" s="90">
        <f>G42/G16*365</f>
        <v>34.968775255308202</v>
      </c>
      <c r="H86" s="105">
        <f>H42/H16*365</f>
        <v>37</v>
      </c>
      <c r="I86" s="90">
        <f>I42/I16*365</f>
        <v>37</v>
      </c>
      <c r="J86" s="90">
        <f>J42/J16*365</f>
        <v>37</v>
      </c>
      <c r="K86" s="90">
        <f>K42/K16*365</f>
        <v>37</v>
      </c>
      <c r="L86" s="90">
        <f>L42/L16*365</f>
        <v>37</v>
      </c>
    </row>
    <row r="87" spans="1:12" x14ac:dyDescent="0.2">
      <c r="A87" s="1" t="s">
        <v>210</v>
      </c>
      <c r="C87" s="89"/>
      <c r="D87" s="90">
        <f>D43/D17*365</f>
        <v>83.559147822836849</v>
      </c>
      <c r="E87" s="90">
        <f>E43/E17*365</f>
        <v>102.70429654591406</v>
      </c>
      <c r="F87" s="90">
        <f>F43/F17*365</f>
        <v>83.66276911655531</v>
      </c>
      <c r="G87" s="90">
        <f>G43/G17*365</f>
        <v>77.790051594126211</v>
      </c>
      <c r="H87" s="105">
        <f>H43/H17*365</f>
        <v>80</v>
      </c>
      <c r="I87" s="90">
        <f>I43/I17*365</f>
        <v>80</v>
      </c>
      <c r="J87" s="90">
        <f>J43/J17*365</f>
        <v>80</v>
      </c>
      <c r="K87" s="90">
        <f>K43/K17*365</f>
        <v>80</v>
      </c>
      <c r="L87" s="90">
        <f>L43/L17*365</f>
        <v>80</v>
      </c>
    </row>
    <row r="88" spans="1:12" x14ac:dyDescent="0.2">
      <c r="A88" s="1" t="s">
        <v>211</v>
      </c>
      <c r="C88" s="89"/>
      <c r="D88" s="90">
        <f>D49/D17*365</f>
        <v>99.043169501027847</v>
      </c>
      <c r="E88" s="90">
        <f>E49/E17*365</f>
        <v>121.53854254422916</v>
      </c>
      <c r="F88" s="90">
        <f>F49/F17*365</f>
        <v>88.472531551596148</v>
      </c>
      <c r="G88" s="90">
        <f>G49/G17*365</f>
        <v>78.900648233893378</v>
      </c>
      <c r="H88" s="105">
        <f>H49/H17*365</f>
        <v>80</v>
      </c>
      <c r="I88" s="90">
        <f>I49/I17*365</f>
        <v>80</v>
      </c>
      <c r="J88" s="90">
        <f>J49/J17*365</f>
        <v>80</v>
      </c>
      <c r="K88" s="90">
        <f>K49/K17*365</f>
        <v>80</v>
      </c>
      <c r="L88" s="90">
        <f>L49/L17*365</f>
        <v>80</v>
      </c>
    </row>
    <row r="89" spans="1:12" x14ac:dyDescent="0.2">
      <c r="A89" s="1" t="s">
        <v>212</v>
      </c>
      <c r="C89" s="7"/>
      <c r="D89" s="36">
        <f>D44/D16</f>
        <v>2.5194592380172062E-2</v>
      </c>
      <c r="E89" s="36">
        <f>E44/E16</f>
        <v>4.1023516005386923E-2</v>
      </c>
      <c r="F89" s="36">
        <f>F44/F16</f>
        <v>3.8685255285753853E-2</v>
      </c>
      <c r="G89" s="36">
        <f>G44/G16</f>
        <v>3.7028873705091468E-2</v>
      </c>
      <c r="H89" s="106">
        <f>H44/H16</f>
        <v>3.6999999999999998E-2</v>
      </c>
      <c r="I89" s="36">
        <f>I44/I16</f>
        <v>3.6999999999999998E-2</v>
      </c>
      <c r="J89" s="36">
        <f>J44/J16</f>
        <v>3.6999999999999998E-2</v>
      </c>
      <c r="K89" s="36">
        <f>K44/K16</f>
        <v>3.6999999999999998E-2</v>
      </c>
      <c r="L89" s="36">
        <f>L44/L16</f>
        <v>3.6999999999999998E-2</v>
      </c>
    </row>
    <row r="90" spans="1:12" x14ac:dyDescent="0.2">
      <c r="A90" s="1" t="s">
        <v>213</v>
      </c>
      <c r="C90" s="7"/>
      <c r="D90" s="36">
        <f>D50/D16</f>
        <v>4.7316673494469483E-2</v>
      </c>
      <c r="E90" s="36">
        <f>E50/E16</f>
        <v>4.5478089713042576E-2</v>
      </c>
      <c r="F90" s="36">
        <f>F50/F16</f>
        <v>4.9395254362478075E-2</v>
      </c>
      <c r="G90" s="36">
        <f>G50/G16</f>
        <v>6.8253618396884874E-2</v>
      </c>
      <c r="H90" s="106">
        <f>H50/H16</f>
        <v>0.06</v>
      </c>
      <c r="I90" s="36">
        <f>I50/I16</f>
        <v>0.06</v>
      </c>
      <c r="J90" s="36">
        <f>J50/J16</f>
        <v>0.06</v>
      </c>
      <c r="K90" s="36">
        <f>K50/K16</f>
        <v>6.0000000000000005E-2</v>
      </c>
      <c r="L90" s="36">
        <f>L50/L16</f>
        <v>0.06</v>
      </c>
    </row>
    <row r="91" spans="1:12" x14ac:dyDescent="0.2">
      <c r="A91" s="1" t="s">
        <v>214</v>
      </c>
      <c r="C91" s="7"/>
      <c r="D91" s="36">
        <f>-D71/D16</f>
        <v>1.8639901679639491E-2</v>
      </c>
      <c r="E91" s="36">
        <f>-E71/E16</f>
        <v>1.5849994820263131E-2</v>
      </c>
      <c r="F91" s="36">
        <f>-F71/F16</f>
        <v>1.4864740097867233E-2</v>
      </c>
      <c r="G91" s="36">
        <f>-G71/G16</f>
        <v>2.3436926015722576E-2</v>
      </c>
      <c r="H91" s="106">
        <f>-H71/H16</f>
        <v>2.1999999999999999E-2</v>
      </c>
      <c r="I91" s="36">
        <f>-I71/I16</f>
        <v>2.1999999999999999E-2</v>
      </c>
      <c r="J91" s="36">
        <f>-J71/J16</f>
        <v>2.1999999999999999E-2</v>
      </c>
      <c r="K91" s="36">
        <f>-K71/K16</f>
        <v>2.1999999999999999E-2</v>
      </c>
      <c r="L91" s="36">
        <f>-L71/L16</f>
        <v>2.1999999999999999E-2</v>
      </c>
    </row>
    <row r="92" spans="1:12" x14ac:dyDescent="0.2">
      <c r="A92" s="1" t="s">
        <v>215</v>
      </c>
      <c r="C92" s="7"/>
      <c r="D92" s="36">
        <f>D25/D16</f>
        <v>1.5874641540352313E-2</v>
      </c>
      <c r="E92" s="36">
        <f>E25/E16</f>
        <v>1.6367968507199834E-2</v>
      </c>
      <c r="F92" s="36">
        <f>F25/F16</f>
        <v>1.6434308928076815E-2</v>
      </c>
      <c r="G92" s="36">
        <f>G25/G16</f>
        <v>1.4840937477040629E-2</v>
      </c>
      <c r="H92" s="106">
        <f>H25/H16</f>
        <v>1.55E-2</v>
      </c>
      <c r="I92" s="36">
        <f>I25/I16</f>
        <v>1.5500000000000002E-2</v>
      </c>
      <c r="J92" s="36">
        <f>J25/J16</f>
        <v>1.55E-2</v>
      </c>
      <c r="K92" s="36">
        <f>K25/K16</f>
        <v>1.5499999999999998E-2</v>
      </c>
      <c r="L92" s="36">
        <f>L25/L16</f>
        <v>1.5500000000000002E-2</v>
      </c>
    </row>
    <row r="93" spans="1:12" x14ac:dyDescent="0.2">
      <c r="A93" s="1" t="s">
        <v>216</v>
      </c>
      <c r="C93" s="7"/>
      <c r="D93" s="36">
        <f>D20/D16</f>
        <v>8.6235149528881602E-2</v>
      </c>
      <c r="E93" s="36">
        <f>E20/E16</f>
        <v>9.8622189992748369E-2</v>
      </c>
      <c r="F93" s="36">
        <f>F20/F16</f>
        <v>0.10414550826331825</v>
      </c>
      <c r="G93" s="36">
        <f>G20/G16</f>
        <v>9.5584453750642867E-2</v>
      </c>
      <c r="H93" s="106">
        <f>H20/H16</f>
        <v>0.10300000000000001</v>
      </c>
      <c r="I93" s="36">
        <f>I20/I16</f>
        <v>0.10299999999999999</v>
      </c>
      <c r="J93" s="36">
        <f>J20/J16</f>
        <v>0.10299999999999999</v>
      </c>
      <c r="K93" s="36">
        <f>K20/K16</f>
        <v>0.10299999999999999</v>
      </c>
      <c r="L93" s="36">
        <f>L20/L16</f>
        <v>0.10299999999999998</v>
      </c>
    </row>
    <row r="94" spans="1:12" x14ac:dyDescent="0.2">
      <c r="A94" s="1" t="s">
        <v>217</v>
      </c>
      <c r="C94" s="7"/>
      <c r="D94" s="36">
        <f>D21/D16</f>
        <v>6.6878328553871366E-2</v>
      </c>
      <c r="E94" s="36">
        <f>E21/E16</f>
        <v>7.6970889878794163E-2</v>
      </c>
      <c r="F94" s="36">
        <f>F21/F16</f>
        <v>7.6724217523774355E-2</v>
      </c>
      <c r="G94" s="36">
        <f>G21/G16</f>
        <v>6.7298508559253539E-2</v>
      </c>
      <c r="H94" s="106">
        <f>H21/H16</f>
        <v>6.8000000000000005E-2</v>
      </c>
      <c r="I94" s="36">
        <f>I21/I16</f>
        <v>6.8000000000000005E-2</v>
      </c>
      <c r="J94" s="36">
        <f>J21/J16</f>
        <v>6.8000000000000005E-2</v>
      </c>
      <c r="K94" s="36">
        <f>K21/K16</f>
        <v>6.8000000000000005E-2</v>
      </c>
      <c r="L94" s="36">
        <f>L21/L16</f>
        <v>6.8000000000000005E-2</v>
      </c>
    </row>
    <row r="95" spans="1:12" x14ac:dyDescent="0.2">
      <c r="A95" s="1" t="s">
        <v>218</v>
      </c>
      <c r="C95" s="7"/>
      <c r="D95" s="36">
        <f>D22/D16</f>
        <v>0.1134780827529701</v>
      </c>
      <c r="E95" s="36">
        <f>E22/E16</f>
        <v>0.12265616906661142</v>
      </c>
      <c r="F95" s="36">
        <f>F22/F16</f>
        <v>0.12418059274305235</v>
      </c>
      <c r="G95" s="36">
        <f>G22/G16</f>
        <v>0.1107192711777239</v>
      </c>
      <c r="H95" s="106">
        <f>H22/H16</f>
        <v>0.113</v>
      </c>
      <c r="I95" s="36">
        <f>I22/I16</f>
        <v>0.113</v>
      </c>
      <c r="J95" s="36">
        <f>J22/J16</f>
        <v>0.113</v>
      </c>
      <c r="K95" s="36">
        <f>K22/K16</f>
        <v>0.11300000000000002</v>
      </c>
      <c r="L95" s="36">
        <f>L22/L16</f>
        <v>0.11300000000000002</v>
      </c>
    </row>
    <row r="96" spans="1:12" x14ac:dyDescent="0.2">
      <c r="A96" s="1" t="s">
        <v>219</v>
      </c>
      <c r="C96" s="7"/>
      <c r="D96" s="36">
        <f>D17/D16</f>
        <v>0.54803359278984021</v>
      </c>
      <c r="E96" s="36">
        <f>E17/E16</f>
        <v>0.49186781311509375</v>
      </c>
      <c r="F96" s="36">
        <f>F17/F16</f>
        <v>0.49746099159819041</v>
      </c>
      <c r="G96" s="36">
        <f>G17/G16</f>
        <v>0.55535963558886192</v>
      </c>
      <c r="H96" s="106">
        <f>H17/H16</f>
        <v>0.53500000000000003</v>
      </c>
      <c r="I96" s="36">
        <f>I17/I16</f>
        <v>0.52500000000000002</v>
      </c>
      <c r="J96" s="36">
        <f>J17/J16</f>
        <v>0.52</v>
      </c>
      <c r="K96" s="36">
        <f>K17/K16</f>
        <v>0.52</v>
      </c>
      <c r="L96" s="36">
        <f>L17/L16</f>
        <v>0.52</v>
      </c>
    </row>
    <row r="97" spans="1:12" x14ac:dyDescent="0.2">
      <c r="A97" s="1" t="s">
        <v>220</v>
      </c>
      <c r="C97" s="7"/>
      <c r="D97" s="36">
        <f>D34/D33</f>
        <v>1.5128593040847202E-2</v>
      </c>
      <c r="E97" s="36">
        <f>E34/E33</f>
        <v>1.3981358189081226E-2</v>
      </c>
      <c r="F97" s="36">
        <f>F34/F33</f>
        <v>1.7490952955367914E-2</v>
      </c>
      <c r="G97" s="36">
        <f>G34/G33</f>
        <v>2.8130170987313845E-2</v>
      </c>
      <c r="H97" s="106">
        <f>H34/H33</f>
        <v>2.5000000000000001E-2</v>
      </c>
      <c r="I97" s="36">
        <f>I34/I33</f>
        <v>2.5000000000000001E-2</v>
      </c>
      <c r="J97" s="36">
        <f>J34/J33</f>
        <v>2.4999999999999998E-2</v>
      </c>
      <c r="K97" s="36">
        <f>K34/K33</f>
        <v>2.5000000000000001E-2</v>
      </c>
      <c r="L97" s="36">
        <f>L34/L33</f>
        <v>2.5000000000000001E-2</v>
      </c>
    </row>
    <row r="98" spans="1:12" x14ac:dyDescent="0.2">
      <c r="A98" s="1" t="s">
        <v>154</v>
      </c>
      <c r="C98" s="7"/>
      <c r="D98" s="36">
        <f>-D75/D35</f>
        <v>0.44700460829493088</v>
      </c>
      <c r="E98" s="36">
        <f>-E75/E35</f>
        <v>0.82984469952734641</v>
      </c>
      <c r="F98" s="36">
        <f>-F75/F35</f>
        <v>0.27808471454880296</v>
      </c>
      <c r="G98" s="36">
        <f>-G75/G35</f>
        <v>0.51532349602724181</v>
      </c>
      <c r="H98" s="106">
        <f>-H75/H35</f>
        <v>0.8</v>
      </c>
      <c r="I98" s="36">
        <f>-I75/I35</f>
        <v>0.8</v>
      </c>
      <c r="J98" s="36">
        <f>-J75/J35</f>
        <v>0.79999999999999993</v>
      </c>
      <c r="K98" s="36">
        <f>-K75/K35</f>
        <v>0.8</v>
      </c>
      <c r="L98" s="36">
        <f>-L75/L35</f>
        <v>0.8</v>
      </c>
    </row>
    <row r="99" spans="1:12" x14ac:dyDescent="0.2">
      <c r="A99" s="1" t="s">
        <v>155</v>
      </c>
      <c r="C99" s="7"/>
      <c r="D99" s="36">
        <f>IF(D34=0,0,-D76/D34)</f>
        <v>1.25</v>
      </c>
      <c r="E99" s="36">
        <f>IF(E34=0,0,-E76/E34)</f>
        <v>0</v>
      </c>
      <c r="F99" s="36">
        <f>IF(F34=0,0,-F76/F34)</f>
        <v>1.6206896551724137</v>
      </c>
      <c r="G99" s="36">
        <f>IF(G34=0,0,-G76/G34)</f>
        <v>1.588235294117647</v>
      </c>
      <c r="H99" s="106">
        <f>IF(H34=0,0,-H76/H34)</f>
        <v>1</v>
      </c>
      <c r="I99" s="36">
        <f>IF(I34=0,0,-I76/I34)</f>
        <v>1</v>
      </c>
      <c r="J99" s="36">
        <f>IF(J34=0,0,-J76/J34)</f>
        <v>1</v>
      </c>
      <c r="K99" s="36">
        <f>IF(K34=0,0,-K76/K34)</f>
        <v>1</v>
      </c>
      <c r="L99" s="36">
        <f>IF(L34=0,0,-L76/L34)</f>
        <v>1</v>
      </c>
    </row>
    <row r="100" spans="1:12" x14ac:dyDescent="0.2">
      <c r="A100" s="1" t="s">
        <v>221</v>
      </c>
      <c r="C100" s="7"/>
      <c r="D100" s="7"/>
      <c r="E100" s="36">
        <f>E28/(D40+D41)</f>
        <v>7.6673866090712736E-2</v>
      </c>
      <c r="F100" s="36">
        <f>F28/(E40+E41)</f>
        <v>0.13462783171521037</v>
      </c>
      <c r="G100" s="36">
        <f>G28/(F40+F41)</f>
        <v>8.6185044359949309E-2</v>
      </c>
      <c r="H100" s="106">
        <f>H28/(G40+G41)</f>
        <v>7.0000000000000007E-2</v>
      </c>
      <c r="I100" s="36">
        <f>I28/(H40+H41)</f>
        <v>7.0000000000000007E-2</v>
      </c>
      <c r="J100" s="36">
        <f>J28/(I40+I41)</f>
        <v>7.0000000000000007E-2</v>
      </c>
      <c r="K100" s="36">
        <f>K28/(J40+J41)</f>
        <v>7.0000000000000007E-2</v>
      </c>
      <c r="L100" s="36">
        <f>L28/(K40+K41)</f>
        <v>7.0000000000000007E-2</v>
      </c>
    </row>
    <row r="101" spans="1:12" x14ac:dyDescent="0.2">
      <c r="A101" s="1" t="s">
        <v>222</v>
      </c>
      <c r="C101" s="7"/>
      <c r="D101" s="7"/>
      <c r="E101" s="36">
        <f>E29/(D51+D52)</f>
        <v>0.12006578947368421</v>
      </c>
      <c r="F101" s="36">
        <f>F29/(E51+E52)</f>
        <v>0.10037878787878787</v>
      </c>
      <c r="G101" s="36">
        <f>G29/(F51+F52)</f>
        <v>9.5667870036101083E-2</v>
      </c>
      <c r="H101" s="106">
        <f>H29/(G51+G52)</f>
        <v>0.09</v>
      </c>
      <c r="I101" s="36">
        <f>I29/(H51+H52)</f>
        <v>0.09</v>
      </c>
      <c r="J101" s="36">
        <f>J29/(I51+I52)</f>
        <v>0.09</v>
      </c>
      <c r="K101" s="36">
        <f>K29/(J51+J52)</f>
        <v>0.09</v>
      </c>
      <c r="L101" s="36">
        <f>L29/(K51+K52)</f>
        <v>0.09</v>
      </c>
    </row>
    <row r="102" spans="1:12" x14ac:dyDescent="0.2">
      <c r="A102" s="1" t="s">
        <v>223</v>
      </c>
      <c r="C102" s="7"/>
      <c r="D102" s="7"/>
      <c r="E102" s="36">
        <f>E35/AVERAGE(D56,E56)</f>
        <v>0.38815358406499806</v>
      </c>
      <c r="F102" s="36">
        <f>F35/AVERAGE(E56,F56)</f>
        <v>0.41731779172537464</v>
      </c>
      <c r="G102" s="36">
        <f>G35/AVERAGE(F56,G56)</f>
        <v>0.43054367745876604</v>
      </c>
      <c r="H102" s="106">
        <f>H35/AVERAGE(G56,H56)</f>
        <v>0.45125473455397436</v>
      </c>
      <c r="I102" s="36">
        <f>I35/AVERAGE(H56,I56)</f>
        <v>0.47832632826157823</v>
      </c>
      <c r="J102" s="36">
        <f>J35/AVERAGE(I56,J56)</f>
        <v>0.49413448056041959</v>
      </c>
      <c r="K102" s="36">
        <f>K35/AVERAGE(J56,K56)</f>
        <v>0.49353493670578541</v>
      </c>
      <c r="L102" s="36">
        <f>L35/AVERAGE(K56,L56)</f>
        <v>0.49043520743967078</v>
      </c>
    </row>
    <row r="103" spans="1:12" x14ac:dyDescent="0.2">
      <c r="A103" s="1" t="s">
        <v>224</v>
      </c>
      <c r="C103" s="2"/>
      <c r="D103" s="4">
        <f>D40+D41-D51-D52</f>
        <v>1244</v>
      </c>
      <c r="E103" s="4">
        <f>E40+E41-E51-E52</f>
        <v>1017</v>
      </c>
      <c r="F103" s="4">
        <f>F40+F41-F51-F52</f>
        <v>1813</v>
      </c>
      <c r="G103" s="4">
        <f>G40+G41-G51-G52</f>
        <v>2019</v>
      </c>
      <c r="H103" s="98">
        <f>H40+H41-H51-H52</f>
        <v>1980.6804868878771</v>
      </c>
      <c r="I103" s="4">
        <f>I40+I41-I51-I52</f>
        <v>2207.5024571960894</v>
      </c>
      <c r="J103" s="4">
        <f>J40+J41-J51-J52</f>
        <v>2471.151118802919</v>
      </c>
      <c r="K103" s="4">
        <f>K40+K41-K51-K52</f>
        <v>2770.5023490711592</v>
      </c>
      <c r="L103" s="4">
        <f>L40+L41-L51-L52</f>
        <v>3108.4248221604148</v>
      </c>
    </row>
    <row r="104" spans="1:12" x14ac:dyDescent="0.2">
      <c r="A104" s="1" t="s">
        <v>225</v>
      </c>
      <c r="C104" s="2"/>
      <c r="D104" s="4">
        <f>D42+D43-D49</f>
        <v>788</v>
      </c>
      <c r="E104" s="4">
        <f>E42+E43-E49</f>
        <v>824</v>
      </c>
      <c r="F104" s="4">
        <f>F42+F43-F49</f>
        <v>1200</v>
      </c>
      <c r="G104" s="4">
        <f>G42+G43-G49</f>
        <v>1281</v>
      </c>
      <c r="H104" s="98">
        <f>H42+H43-H49</f>
        <v>1543.4616599999997</v>
      </c>
      <c r="I104" s="4">
        <f>I42+I43-I49</f>
        <v>1707.3003482040824</v>
      </c>
      <c r="J104" s="4">
        <f>J42+J43-J49</f>
        <v>1891.318500929528</v>
      </c>
      <c r="K104" s="4">
        <f>K42+K43-K49</f>
        <v>2083.1765801902334</v>
      </c>
      <c r="L104" s="4">
        <f>L42+L43-L49</f>
        <v>2281.2951742269042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A5B7-7ADA-4F4B-9C05-6C4ABF95D843}">
  <sheetPr>
    <tabColor rgb="FF00B0AB"/>
  </sheetPr>
  <dimension ref="A1:Z27"/>
  <sheetViews>
    <sheetView showGridLines="0" tabSelected="1" workbookViewId="0"/>
  </sheetViews>
  <sheetFormatPr baseColWidth="10" defaultRowHeight="16" x14ac:dyDescent="0.2"/>
  <cols>
    <col min="1" max="1" width="55" style="1" customWidth="1"/>
    <col min="2" max="2" width="2" style="1" customWidth="1"/>
    <col min="3" max="3" width="13.33203125" style="1" customWidth="1"/>
    <col min="4" max="4" width="55" style="1" customWidth="1"/>
    <col min="5" max="26" width="10.83203125" style="1"/>
  </cols>
  <sheetData>
    <row r="1" spans="1:4" ht="24" customHeight="1" thickBot="1" x14ac:dyDescent="0.25">
      <c r="A1" s="200" t="s">
        <v>233</v>
      </c>
      <c r="B1" s="198"/>
      <c r="C1" s="198"/>
      <c r="D1" s="198"/>
    </row>
    <row r="2" spans="1:4" x14ac:dyDescent="0.2">
      <c r="A2" s="156" t="s">
        <v>373</v>
      </c>
    </row>
    <row r="4" spans="1:4" x14ac:dyDescent="0.2">
      <c r="A4" s="178" t="s">
        <v>234</v>
      </c>
      <c r="B4" s="178"/>
      <c r="C4" s="178"/>
      <c r="D4" s="1" t="s">
        <v>363</v>
      </c>
    </row>
    <row r="5" spans="1:4" x14ac:dyDescent="0.2">
      <c r="A5" s="24" t="s">
        <v>235</v>
      </c>
      <c r="B5" s="24"/>
      <c r="C5" s="25">
        <v>7.4700000000000003E-2</v>
      </c>
      <c r="D5" s="157" t="s">
        <v>364</v>
      </c>
    </row>
    <row r="6" spans="1:4" x14ac:dyDescent="0.2">
      <c r="A6" s="24" t="s">
        <v>236</v>
      </c>
      <c r="B6" s="24"/>
      <c r="C6" s="26">
        <v>0.51</v>
      </c>
      <c r="D6" s="157" t="s">
        <v>365</v>
      </c>
    </row>
    <row r="7" spans="1:4" x14ac:dyDescent="0.2">
      <c r="A7" s="24" t="s">
        <v>237</v>
      </c>
      <c r="B7" s="24"/>
      <c r="C7" s="27">
        <f>0.67*C6+0.33</f>
        <v>0.67169999999999996</v>
      </c>
      <c r="D7" s="157" t="s">
        <v>366</v>
      </c>
    </row>
    <row r="8" spans="1:4" x14ac:dyDescent="0.2">
      <c r="A8" s="24" t="s">
        <v>238</v>
      </c>
      <c r="B8" s="24"/>
      <c r="C8" s="25">
        <v>0.06</v>
      </c>
      <c r="D8" s="157" t="s">
        <v>367</v>
      </c>
    </row>
    <row r="9" spans="1:4" x14ac:dyDescent="0.2">
      <c r="A9" s="28" t="s">
        <v>239</v>
      </c>
      <c r="B9" s="28"/>
      <c r="C9" s="21">
        <f>C5+C7*C8</f>
        <v>0.11500199999999999</v>
      </c>
      <c r="D9" s="157"/>
    </row>
    <row r="10" spans="1:4" x14ac:dyDescent="0.2">
      <c r="A10" s="24"/>
      <c r="B10" s="24"/>
      <c r="C10" s="29"/>
      <c r="D10" s="157"/>
    </row>
    <row r="11" spans="1:4" x14ac:dyDescent="0.2">
      <c r="A11" s="178" t="s">
        <v>240</v>
      </c>
      <c r="B11" s="178"/>
      <c r="C11" s="179"/>
      <c r="D11" s="157"/>
    </row>
    <row r="12" spans="1:4" x14ac:dyDescent="0.2">
      <c r="A12" s="24" t="s">
        <v>241</v>
      </c>
      <c r="B12" s="24"/>
      <c r="C12" s="25">
        <v>0.08</v>
      </c>
      <c r="D12" s="157" t="s">
        <v>368</v>
      </c>
    </row>
    <row r="13" spans="1:4" x14ac:dyDescent="0.2">
      <c r="A13" s="24" t="s">
        <v>242</v>
      </c>
      <c r="B13" s="24"/>
      <c r="C13" s="25">
        <v>0.25168000000000001</v>
      </c>
      <c r="D13" s="157" t="s">
        <v>369</v>
      </c>
    </row>
    <row r="14" spans="1:4" x14ac:dyDescent="0.2">
      <c r="A14" s="28" t="s">
        <v>243</v>
      </c>
      <c r="B14" s="28"/>
      <c r="C14" s="21">
        <f>C12*(1-C13)</f>
        <v>5.9865599999999998E-2</v>
      </c>
      <c r="D14" s="157"/>
    </row>
    <row r="15" spans="1:4" x14ac:dyDescent="0.2">
      <c r="A15" s="24"/>
      <c r="B15" s="24"/>
      <c r="C15" s="24"/>
      <c r="D15" s="157"/>
    </row>
    <row r="16" spans="1:4" x14ac:dyDescent="0.2">
      <c r="A16" s="178" t="s">
        <v>244</v>
      </c>
      <c r="B16" s="178"/>
      <c r="C16" s="178"/>
      <c r="D16" s="157"/>
    </row>
    <row r="17" spans="1:4" x14ac:dyDescent="0.2">
      <c r="A17" s="24" t="s">
        <v>245</v>
      </c>
      <c r="B17" s="24"/>
      <c r="C17" s="30">
        <v>775</v>
      </c>
      <c r="D17" s="157" t="s">
        <v>370</v>
      </c>
    </row>
    <row r="18" spans="1:4" x14ac:dyDescent="0.2">
      <c r="A18" s="24" t="s">
        <v>246</v>
      </c>
      <c r="B18" s="24"/>
      <c r="C18" s="31">
        <v>1298.1489349999999</v>
      </c>
      <c r="D18" s="157" t="s">
        <v>371</v>
      </c>
    </row>
    <row r="19" spans="1:4" x14ac:dyDescent="0.2">
      <c r="A19" s="24" t="s">
        <v>247</v>
      </c>
      <c r="B19" s="24"/>
      <c r="C19" s="31">
        <v>2.8145889999999998</v>
      </c>
      <c r="D19" s="157" t="s">
        <v>372</v>
      </c>
    </row>
    <row r="20" spans="1:4" x14ac:dyDescent="0.2">
      <c r="A20" s="28" t="s">
        <v>248</v>
      </c>
      <c r="B20" s="28"/>
      <c r="C20" s="22">
        <f>C18+C19</f>
        <v>1300.963524</v>
      </c>
      <c r="D20" s="157"/>
    </row>
    <row r="21" spans="1:4" x14ac:dyDescent="0.2">
      <c r="A21" s="28" t="s">
        <v>249</v>
      </c>
      <c r="B21" s="28"/>
      <c r="C21" s="23">
        <f>C17*C20/10</f>
        <v>100824.67311</v>
      </c>
      <c r="D21" s="157"/>
    </row>
    <row r="22" spans="1:4" x14ac:dyDescent="0.2">
      <c r="A22" s="24" t="s">
        <v>250</v>
      </c>
      <c r="B22" s="24"/>
      <c r="C22" s="32">
        <f>Model!G51+Model!G52</f>
        <v>557</v>
      </c>
      <c r="D22" s="157"/>
    </row>
    <row r="23" spans="1:4" x14ac:dyDescent="0.2">
      <c r="A23" s="24" t="s">
        <v>251</v>
      </c>
      <c r="B23" s="24"/>
      <c r="C23" s="33">
        <f>C21+C22</f>
        <v>101381.67311</v>
      </c>
      <c r="D23" s="157"/>
    </row>
    <row r="24" spans="1:4" x14ac:dyDescent="0.2">
      <c r="A24" s="24" t="s">
        <v>252</v>
      </c>
      <c r="B24" s="24"/>
      <c r="C24" s="34">
        <f>C21/C23</f>
        <v>0.9945059103592061</v>
      </c>
      <c r="D24" s="157"/>
    </row>
    <row r="25" spans="1:4" x14ac:dyDescent="0.2">
      <c r="A25" s="24" t="s">
        <v>253</v>
      </c>
      <c r="B25" s="24"/>
      <c r="C25" s="34">
        <f>C22/C23</f>
        <v>5.4940896407938552E-3</v>
      </c>
      <c r="D25" s="157"/>
    </row>
    <row r="26" spans="1:4" x14ac:dyDescent="0.2">
      <c r="A26" s="24"/>
      <c r="B26" s="24"/>
      <c r="C26" s="24"/>
      <c r="D26" s="157"/>
    </row>
    <row r="27" spans="1:4" x14ac:dyDescent="0.2">
      <c r="A27" s="180" t="s">
        <v>254</v>
      </c>
      <c r="B27" s="180"/>
      <c r="C27" s="181">
        <f>C24*C9+C25*C14</f>
        <v>0.11469907567592932</v>
      </c>
      <c r="D27" s="15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344A-DD4A-7842-BA1C-B215314A1F13}">
  <sheetPr>
    <tabColor rgb="FF115E6E"/>
  </sheetPr>
  <dimension ref="A1:Z76"/>
  <sheetViews>
    <sheetView showGridLines="0" workbookViewId="0">
      <pane ySplit="2" topLeftCell="A3" activePane="bottomLeft" state="frozen"/>
      <selection pane="bottomLeft"/>
    </sheetView>
  </sheetViews>
  <sheetFormatPr baseColWidth="10" defaultRowHeight="16" x14ac:dyDescent="0.2"/>
  <cols>
    <col min="1" max="1" width="50" style="1" customWidth="1"/>
    <col min="2" max="2" width="13.33203125" style="1" customWidth="1"/>
    <col min="3" max="7" width="10.6640625" style="1" customWidth="1"/>
    <col min="8" max="26" width="10.83203125" style="1"/>
  </cols>
  <sheetData>
    <row r="1" spans="1:7" ht="24" customHeight="1" thickBot="1" x14ac:dyDescent="0.25">
      <c r="A1" s="200" t="s">
        <v>255</v>
      </c>
      <c r="B1" s="198"/>
      <c r="C1" s="198"/>
      <c r="D1" s="198"/>
      <c r="E1" s="198"/>
      <c r="F1" s="198"/>
      <c r="G1" s="198"/>
    </row>
    <row r="2" spans="1:7" x14ac:dyDescent="0.2">
      <c r="A2" s="156" t="s">
        <v>256</v>
      </c>
    </row>
    <row r="3" spans="1:7" ht="17" thickBot="1" x14ac:dyDescent="0.25"/>
    <row r="4" spans="1:7" x14ac:dyDescent="0.2">
      <c r="A4" s="182" t="s">
        <v>257</v>
      </c>
      <c r="B4" s="183"/>
      <c r="C4" s="183"/>
      <c r="D4" s="183"/>
      <c r="E4" s="183"/>
      <c r="F4" s="183"/>
      <c r="G4" s="184"/>
    </row>
    <row r="5" spans="1:7" x14ac:dyDescent="0.2">
      <c r="A5" s="55" t="s">
        <v>258</v>
      </c>
      <c r="B5" s="24"/>
      <c r="C5" s="47">
        <f>DATE(2026,10,23)</f>
        <v>46318</v>
      </c>
      <c r="D5" s="158" t="s">
        <v>374</v>
      </c>
      <c r="E5" s="24"/>
      <c r="F5" s="24"/>
      <c r="G5" s="57"/>
    </row>
    <row r="6" spans="1:7" x14ac:dyDescent="0.2">
      <c r="A6" s="55" t="s">
        <v>259</v>
      </c>
      <c r="B6" s="24"/>
      <c r="C6" s="48" t="str">
        <f>Assumptions!D3</f>
        <v>Base case</v>
      </c>
      <c r="D6" s="24"/>
      <c r="E6" s="24"/>
      <c r="F6" s="24"/>
      <c r="G6" s="57"/>
    </row>
    <row r="7" spans="1:7" x14ac:dyDescent="0.2">
      <c r="A7" s="55" t="s">
        <v>260</v>
      </c>
      <c r="B7" s="24"/>
      <c r="C7" s="49">
        <f>WACC!C27</f>
        <v>0.11469907567592932</v>
      </c>
      <c r="D7" s="24"/>
      <c r="E7" s="24"/>
      <c r="F7" s="24"/>
      <c r="G7" s="57"/>
    </row>
    <row r="8" spans="1:7" x14ac:dyDescent="0.2">
      <c r="A8" s="55" t="s">
        <v>261</v>
      </c>
      <c r="B8" s="24"/>
      <c r="C8" s="49">
        <f>Assumptions!H29</f>
        <v>0.06</v>
      </c>
      <c r="D8" s="24"/>
      <c r="E8" s="24"/>
      <c r="F8" s="24"/>
      <c r="G8" s="57"/>
    </row>
    <row r="9" spans="1:7" x14ac:dyDescent="0.2">
      <c r="A9" s="55" t="s">
        <v>262</v>
      </c>
      <c r="B9" s="24"/>
      <c r="C9" s="50">
        <f>WACC!C17</f>
        <v>775</v>
      </c>
      <c r="D9" s="24"/>
      <c r="E9" s="24"/>
      <c r="F9" s="24"/>
      <c r="G9" s="57"/>
    </row>
    <row r="10" spans="1:7" ht="17" thickBot="1" x14ac:dyDescent="0.25">
      <c r="A10" s="56" t="s">
        <v>248</v>
      </c>
      <c r="B10" s="52"/>
      <c r="C10" s="53">
        <f>WACC!C20</f>
        <v>1300.963524</v>
      </c>
      <c r="D10" s="52"/>
      <c r="E10" s="52"/>
      <c r="F10" s="52"/>
      <c r="G10" s="58"/>
    </row>
    <row r="11" spans="1:7" ht="17" thickBot="1" x14ac:dyDescent="0.25"/>
    <row r="12" spans="1:7" x14ac:dyDescent="0.2">
      <c r="A12" s="182" t="s">
        <v>263</v>
      </c>
      <c r="B12" s="183"/>
      <c r="C12" s="183"/>
      <c r="D12" s="183"/>
      <c r="E12" s="183"/>
      <c r="F12" s="183"/>
      <c r="G12" s="184"/>
    </row>
    <row r="13" spans="1:7" x14ac:dyDescent="0.2">
      <c r="A13" s="185" t="s">
        <v>114</v>
      </c>
      <c r="B13" s="169"/>
      <c r="C13" s="170" t="s">
        <v>131</v>
      </c>
      <c r="D13" s="170" t="s">
        <v>132</v>
      </c>
      <c r="E13" s="170" t="s">
        <v>133</v>
      </c>
      <c r="F13" s="170" t="s">
        <v>134</v>
      </c>
      <c r="G13" s="186" t="s">
        <v>135</v>
      </c>
    </row>
    <row r="14" spans="1:7" x14ac:dyDescent="0.2">
      <c r="A14" s="55" t="s">
        <v>264</v>
      </c>
      <c r="B14" s="24"/>
      <c r="C14" s="59">
        <f>DATE(2027,3,31)</f>
        <v>46477</v>
      </c>
      <c r="D14" s="59">
        <f>EDATE(C14,12)</f>
        <v>46843</v>
      </c>
      <c r="E14" s="59">
        <f>EDATE(D14,12)</f>
        <v>47208</v>
      </c>
      <c r="F14" s="59">
        <f>EDATE(E14,12)</f>
        <v>47573</v>
      </c>
      <c r="G14" s="71">
        <f>EDATE(F14,12)</f>
        <v>47938</v>
      </c>
    </row>
    <row r="15" spans="1:7" x14ac:dyDescent="0.2">
      <c r="A15" s="55" t="s">
        <v>265</v>
      </c>
      <c r="B15" s="24"/>
      <c r="C15" s="60">
        <f>Model!H16</f>
        <v>15226.0407</v>
      </c>
      <c r="D15" s="60">
        <f>Model!I16</f>
        <v>16842.287218770001</v>
      </c>
      <c r="E15" s="60">
        <f>Model!J16</f>
        <v>18657.601428088587</v>
      </c>
      <c r="F15" s="60">
        <f>Model!K16</f>
        <v>20550.255453227979</v>
      </c>
      <c r="G15" s="72">
        <f>Model!L16</f>
        <v>22504.668610616762</v>
      </c>
    </row>
    <row r="16" spans="1:7" x14ac:dyDescent="0.2">
      <c r="A16" s="55" t="s">
        <v>171</v>
      </c>
      <c r="B16" s="24"/>
      <c r="C16" s="60">
        <f>Model!H23</f>
        <v>2755.9133666999987</v>
      </c>
      <c r="D16" s="60">
        <f>Model!I23</f>
        <v>3216.8768587850709</v>
      </c>
      <c r="E16" s="60">
        <f>Model!J23</f>
        <v>3656.8898799053632</v>
      </c>
      <c r="F16" s="60">
        <f>Model!K23</f>
        <v>4027.8500688326831</v>
      </c>
      <c r="G16" s="72">
        <f>Model!L23</f>
        <v>4410.9150476808854</v>
      </c>
    </row>
    <row r="17" spans="1:7" x14ac:dyDescent="0.2">
      <c r="A17" s="55" t="s">
        <v>172</v>
      </c>
      <c r="B17" s="24"/>
      <c r="C17" s="61">
        <f>C16/C15</f>
        <v>0.18099999999999991</v>
      </c>
      <c r="D17" s="61">
        <f>D16/D15</f>
        <v>0.19100000000000003</v>
      </c>
      <c r="E17" s="61">
        <f>E16/E15</f>
        <v>0.19600000000000001</v>
      </c>
      <c r="F17" s="61">
        <f>F16/F15</f>
        <v>0.19599999999999995</v>
      </c>
      <c r="G17" s="73">
        <f>G16/G15</f>
        <v>0.19600000000000001</v>
      </c>
    </row>
    <row r="18" spans="1:7" x14ac:dyDescent="0.2">
      <c r="A18" s="55" t="s">
        <v>7</v>
      </c>
      <c r="B18" s="24"/>
      <c r="C18" s="60">
        <f>Model!H25</f>
        <v>236.00363084999998</v>
      </c>
      <c r="D18" s="60">
        <f>Model!I25</f>
        <v>261.05545189093505</v>
      </c>
      <c r="E18" s="60">
        <f>Model!J25</f>
        <v>289.19282213537309</v>
      </c>
      <c r="F18" s="60">
        <f>Model!K25</f>
        <v>318.52895952503366</v>
      </c>
      <c r="G18" s="72">
        <f>Model!L25</f>
        <v>348.82236346455983</v>
      </c>
    </row>
    <row r="19" spans="1:7" x14ac:dyDescent="0.2">
      <c r="A19" s="69" t="s">
        <v>173</v>
      </c>
      <c r="B19" s="28"/>
      <c r="C19" s="37">
        <f>Model!H26</f>
        <v>2519.9097358499989</v>
      </c>
      <c r="D19" s="37">
        <f>Model!I26</f>
        <v>2955.8214068941361</v>
      </c>
      <c r="E19" s="37">
        <f>Model!J26</f>
        <v>3367.6970577699899</v>
      </c>
      <c r="F19" s="37">
        <f>Model!K26</f>
        <v>3709.3211093076493</v>
      </c>
      <c r="G19" s="74">
        <f>Model!L26</f>
        <v>4062.0926842163258</v>
      </c>
    </row>
    <row r="20" spans="1:7" x14ac:dyDescent="0.2">
      <c r="A20" s="55" t="s">
        <v>266</v>
      </c>
      <c r="B20" s="24"/>
      <c r="C20" s="62">
        <f>Model!H32</f>
        <v>0.22999999999999998</v>
      </c>
      <c r="D20" s="62">
        <f>Model!I32</f>
        <v>0.23</v>
      </c>
      <c r="E20" s="62">
        <f>Model!J32</f>
        <v>0.23000000000000004</v>
      </c>
      <c r="F20" s="62">
        <f>Model!K32</f>
        <v>0.23</v>
      </c>
      <c r="G20" s="75">
        <f>Model!L32</f>
        <v>0.23</v>
      </c>
    </row>
    <row r="21" spans="1:7" x14ac:dyDescent="0.2">
      <c r="A21" s="55" t="s">
        <v>267</v>
      </c>
      <c r="B21" s="24"/>
      <c r="C21" s="63">
        <f>-C19*C20</f>
        <v>-579.57923924549971</v>
      </c>
      <c r="D21" s="63">
        <f>-D19*D20</f>
        <v>-679.83892358565129</v>
      </c>
      <c r="E21" s="63">
        <f>-E19*E20</f>
        <v>-774.57032328709784</v>
      </c>
      <c r="F21" s="63">
        <f>-F19*F20</f>
        <v>-853.14385514075934</v>
      </c>
      <c r="G21" s="76">
        <f>-G19*G20</f>
        <v>-934.28131736975502</v>
      </c>
    </row>
    <row r="22" spans="1:7" x14ac:dyDescent="0.2">
      <c r="A22" s="69" t="s">
        <v>268</v>
      </c>
      <c r="B22" s="28"/>
      <c r="C22" s="12">
        <f>C19+C21</f>
        <v>1940.3304966044993</v>
      </c>
      <c r="D22" s="12">
        <f>D19+D21</f>
        <v>2275.9824833084849</v>
      </c>
      <c r="E22" s="12">
        <f>E19+E21</f>
        <v>2593.1267344828921</v>
      </c>
      <c r="F22" s="12">
        <f>F19+F21</f>
        <v>2856.1772541668897</v>
      </c>
      <c r="G22" s="77">
        <f>G19+G21</f>
        <v>3127.8113668465708</v>
      </c>
    </row>
    <row r="23" spans="1:7" x14ac:dyDescent="0.2">
      <c r="A23" s="55" t="s">
        <v>269</v>
      </c>
      <c r="B23" s="24"/>
      <c r="C23" s="63">
        <f>C18</f>
        <v>236.00363084999998</v>
      </c>
      <c r="D23" s="63">
        <f>D18</f>
        <v>261.05545189093505</v>
      </c>
      <c r="E23" s="63">
        <f>E18</f>
        <v>289.19282213537309</v>
      </c>
      <c r="F23" s="63">
        <f>F18</f>
        <v>318.52895952503366</v>
      </c>
      <c r="G23" s="76">
        <f>G18</f>
        <v>348.82236346455983</v>
      </c>
    </row>
    <row r="24" spans="1:7" x14ac:dyDescent="0.2">
      <c r="A24" s="55" t="s">
        <v>270</v>
      </c>
      <c r="B24" s="24"/>
      <c r="C24" s="60">
        <f>Model!H71</f>
        <v>-334.97289539999997</v>
      </c>
      <c r="D24" s="60">
        <f>Model!I71</f>
        <v>-370.53031881293998</v>
      </c>
      <c r="E24" s="60">
        <f>Model!J71</f>
        <v>-410.46723141794888</v>
      </c>
      <c r="F24" s="60">
        <f>Model!K71</f>
        <v>-452.10561997101553</v>
      </c>
      <c r="G24" s="72">
        <f>Model!L71</f>
        <v>-495.10270943356875</v>
      </c>
    </row>
    <row r="25" spans="1:7" x14ac:dyDescent="0.2">
      <c r="A25" s="55" t="s">
        <v>271</v>
      </c>
      <c r="B25" s="24"/>
      <c r="C25" s="60">
        <f>SUM(Model!H65:H69)</f>
        <v>-337.26272389999997</v>
      </c>
      <c r="D25" s="60">
        <f>SUM(Model!I65:I69)</f>
        <v>-126.66501827237244</v>
      </c>
      <c r="E25" s="60">
        <f>SUM(Model!J65:J69)</f>
        <v>-142.26592591111807</v>
      </c>
      <c r="F25" s="60">
        <f>SUM(Model!K65:K69)</f>
        <v>-148.32703668249928</v>
      </c>
      <c r="G25" s="72">
        <f>SUM(Model!L65:L69)</f>
        <v>-153.16709141672936</v>
      </c>
    </row>
    <row r="26" spans="1:7" ht="17" thickBot="1" x14ac:dyDescent="0.25">
      <c r="A26" s="69" t="s">
        <v>272</v>
      </c>
      <c r="B26" s="28"/>
      <c r="C26" s="14">
        <f>C22+C23+C24+C25</f>
        <v>1504.0985081544991</v>
      </c>
      <c r="D26" s="14">
        <f>D22+D23+D24+D25</f>
        <v>2039.8425981141072</v>
      </c>
      <c r="E26" s="14">
        <f>E22+E23+E24+E25</f>
        <v>2329.5863992891982</v>
      </c>
      <c r="F26" s="14">
        <f>F22+F23+F24+F25</f>
        <v>2574.2735570384084</v>
      </c>
      <c r="G26" s="78">
        <f>G22+G23+G24+G25</f>
        <v>2828.3639294608324</v>
      </c>
    </row>
    <row r="27" spans="1:7" ht="17" thickTop="1" x14ac:dyDescent="0.2">
      <c r="A27" s="55" t="s">
        <v>273</v>
      </c>
      <c r="B27" s="24"/>
      <c r="C27" s="64">
        <f>MAX(0,MIN(1,(C14-$C$5)/365))</f>
        <v>0.43561643835616437</v>
      </c>
      <c r="D27" s="64">
        <f>MAX(0,MIN(1,(D14-$C$5)/365))</f>
        <v>1</v>
      </c>
      <c r="E27" s="64">
        <f>MAX(0,MIN(1,(E14-$C$5)/365))</f>
        <v>1</v>
      </c>
      <c r="F27" s="64">
        <f>MAX(0,MIN(1,(F14-$C$5)/365))</f>
        <v>1</v>
      </c>
      <c r="G27" s="79">
        <f>MAX(0,MIN(1,(G14-$C$5)/365))</f>
        <v>1</v>
      </c>
    </row>
    <row r="28" spans="1:7" x14ac:dyDescent="0.2">
      <c r="A28" s="55" t="s">
        <v>274</v>
      </c>
      <c r="B28" s="24"/>
      <c r="C28" s="64">
        <f>SUM($C27:C27)-C27/2</f>
        <v>0.21780821917808219</v>
      </c>
      <c r="D28" s="64">
        <f>SUM($C27:D27)-D27/2</f>
        <v>0.93561643835616426</v>
      </c>
      <c r="E28" s="64">
        <f>SUM($C27:E27)-E27/2</f>
        <v>1.9356164383561643</v>
      </c>
      <c r="F28" s="64">
        <f>SUM($C27:F27)-F27/2</f>
        <v>2.9356164383561643</v>
      </c>
      <c r="G28" s="79">
        <f>SUM($C27:G27)-G27/2</f>
        <v>3.9356164383561643</v>
      </c>
    </row>
    <row r="29" spans="1:7" x14ac:dyDescent="0.2">
      <c r="A29" s="55" t="s">
        <v>275</v>
      </c>
      <c r="B29" s="24"/>
      <c r="C29" s="64">
        <f>1/(1+$C$7)^C28</f>
        <v>0.97662689092823851</v>
      </c>
      <c r="D29" s="64">
        <f>1/(1+$C$7)^D28</f>
        <v>0.90339677504909721</v>
      </c>
      <c r="E29" s="64">
        <f>1/(1+$C$7)^E28</f>
        <v>0.81044005037978251</v>
      </c>
      <c r="F29" s="64">
        <f>1/(1+$C$7)^F28</f>
        <v>0.72704828420921508</v>
      </c>
      <c r="G29" s="79">
        <f>1/(1+$C$7)^G28</f>
        <v>0.6522372719905134</v>
      </c>
    </row>
    <row r="30" spans="1:7" ht="17" thickBot="1" x14ac:dyDescent="0.25">
      <c r="A30" s="70" t="s">
        <v>276</v>
      </c>
      <c r="B30" s="66"/>
      <c r="C30" s="67">
        <f>C26*C27*C29</f>
        <v>639.89573944473455</v>
      </c>
      <c r="D30" s="67">
        <f>D26*D27*D29</f>
        <v>1842.7872247440562</v>
      </c>
      <c r="E30" s="67">
        <f>E26*E27*E29</f>
        <v>1887.9901188039939</v>
      </c>
      <c r="F30" s="67">
        <f>F26*F27*F29</f>
        <v>1871.6211727299278</v>
      </c>
      <c r="G30" s="80">
        <f>G26*G27*G29</f>
        <v>1844.7643735479023</v>
      </c>
    </row>
    <row r="31" spans="1:7" ht="17" thickBot="1" x14ac:dyDescent="0.25"/>
    <row r="32" spans="1:7" x14ac:dyDescent="0.2">
      <c r="A32" s="182" t="s">
        <v>277</v>
      </c>
      <c r="B32" s="183"/>
      <c r="C32" s="183"/>
      <c r="D32" s="183"/>
      <c r="E32" s="183"/>
      <c r="F32" s="183"/>
      <c r="G32" s="184"/>
    </row>
    <row r="33" spans="1:7" x14ac:dyDescent="0.2">
      <c r="A33" s="55" t="s">
        <v>278</v>
      </c>
      <c r="B33" s="24"/>
      <c r="C33" s="63">
        <f>G26</f>
        <v>2828.3639294608324</v>
      </c>
      <c r="D33" s="24"/>
      <c r="E33" s="24"/>
      <c r="F33" s="24"/>
      <c r="G33" s="57"/>
    </row>
    <row r="34" spans="1:7" x14ac:dyDescent="0.2">
      <c r="A34" s="55" t="s">
        <v>261</v>
      </c>
      <c r="B34" s="24"/>
      <c r="C34" s="81">
        <f>C8</f>
        <v>0.06</v>
      </c>
      <c r="D34" s="24"/>
      <c r="E34" s="24"/>
      <c r="F34" s="24"/>
      <c r="G34" s="57"/>
    </row>
    <row r="35" spans="1:7" x14ac:dyDescent="0.2">
      <c r="A35" s="55" t="s">
        <v>279</v>
      </c>
      <c r="B35" s="24"/>
      <c r="C35" s="63">
        <f>C33*(1+C34)/(C7-C34)</f>
        <v>54810.172350824578</v>
      </c>
      <c r="D35" s="24"/>
      <c r="E35" s="24"/>
      <c r="F35" s="24"/>
      <c r="G35" s="57"/>
    </row>
    <row r="36" spans="1:7" x14ac:dyDescent="0.2">
      <c r="A36" s="55" t="s">
        <v>280</v>
      </c>
      <c r="B36" s="24"/>
      <c r="C36" s="64">
        <f>SUM(C27:G27)</f>
        <v>4.4356164383561643</v>
      </c>
      <c r="D36" s="24"/>
      <c r="E36" s="24"/>
      <c r="F36" s="24"/>
      <c r="G36" s="57"/>
    </row>
    <row r="37" spans="1:7" x14ac:dyDescent="0.2">
      <c r="A37" s="69" t="s">
        <v>281</v>
      </c>
      <c r="B37" s="28"/>
      <c r="C37" s="65">
        <f>C35/(1+C7)^C36</f>
        <v>33860.078457169366</v>
      </c>
      <c r="D37" s="28"/>
      <c r="E37" s="28"/>
      <c r="F37" s="28"/>
      <c r="G37" s="84"/>
    </row>
    <row r="38" spans="1:7" ht="17" thickBot="1" x14ac:dyDescent="0.25">
      <c r="A38" s="56" t="s">
        <v>282</v>
      </c>
      <c r="B38" s="52"/>
      <c r="C38" s="83">
        <f>C35/G16</f>
        <v>12.426032185689445</v>
      </c>
      <c r="D38" s="52"/>
      <c r="E38" s="52"/>
      <c r="F38" s="52"/>
      <c r="G38" s="58"/>
    </row>
    <row r="39" spans="1:7" x14ac:dyDescent="0.2">
      <c r="A39" s="201" t="s">
        <v>303</v>
      </c>
      <c r="C39" s="2"/>
    </row>
    <row r="40" spans="1:7" ht="17" thickBot="1" x14ac:dyDescent="0.25">
      <c r="C40" s="2"/>
    </row>
    <row r="41" spans="1:7" x14ac:dyDescent="0.2">
      <c r="A41" s="182" t="s">
        <v>283</v>
      </c>
      <c r="B41" s="183"/>
      <c r="C41" s="187"/>
      <c r="D41" s="183"/>
      <c r="E41" s="183"/>
      <c r="F41" s="183"/>
      <c r="G41" s="184"/>
    </row>
    <row r="42" spans="1:7" x14ac:dyDescent="0.2">
      <c r="A42" s="55" t="s">
        <v>284</v>
      </c>
      <c r="B42" s="24"/>
      <c r="C42" s="63">
        <f>SUM(C30:G30)</f>
        <v>8087.0586292706148</v>
      </c>
      <c r="D42" s="24"/>
      <c r="E42" s="24"/>
      <c r="F42" s="24"/>
      <c r="G42" s="57"/>
    </row>
    <row r="43" spans="1:7" x14ac:dyDescent="0.2">
      <c r="A43" s="55" t="s">
        <v>281</v>
      </c>
      <c r="B43" s="24"/>
      <c r="C43" s="63">
        <f>C37</f>
        <v>33860.078457169366</v>
      </c>
      <c r="D43" s="24"/>
      <c r="E43" s="24"/>
      <c r="F43" s="24"/>
      <c r="G43" s="57"/>
    </row>
    <row r="44" spans="1:7" x14ac:dyDescent="0.2">
      <c r="A44" s="188" t="s">
        <v>285</v>
      </c>
      <c r="B44" s="164"/>
      <c r="C44" s="189">
        <f>C42+C43</f>
        <v>41947.13708643998</v>
      </c>
      <c r="D44" s="38"/>
      <c r="E44" s="38"/>
      <c r="F44" s="38"/>
      <c r="G44" s="88"/>
    </row>
    <row r="45" spans="1:7" x14ac:dyDescent="0.2">
      <c r="A45" s="55" t="s">
        <v>286</v>
      </c>
      <c r="B45" s="24"/>
      <c r="C45" s="81">
        <f>C43/C44</f>
        <v>0.80720832955522792</v>
      </c>
      <c r="D45" s="24"/>
      <c r="E45" s="24"/>
      <c r="F45" s="24"/>
      <c r="G45" s="57"/>
    </row>
    <row r="46" spans="1:7" x14ac:dyDescent="0.2">
      <c r="A46" s="55" t="s">
        <v>287</v>
      </c>
      <c r="B46" s="24"/>
      <c r="C46" s="60">
        <f>Model!G40</f>
        <v>404</v>
      </c>
      <c r="D46" s="24"/>
      <c r="E46" s="24"/>
      <c r="F46" s="24"/>
      <c r="G46" s="57"/>
    </row>
    <row r="47" spans="1:7" x14ac:dyDescent="0.2">
      <c r="A47" s="55" t="s">
        <v>288</v>
      </c>
      <c r="B47" s="24"/>
      <c r="C47" s="60">
        <f>Model!G41</f>
        <v>2172</v>
      </c>
      <c r="D47" s="24"/>
      <c r="E47" s="24"/>
      <c r="F47" s="24"/>
      <c r="G47" s="57"/>
    </row>
    <row r="48" spans="1:7" x14ac:dyDescent="0.2">
      <c r="A48" s="55" t="s">
        <v>289</v>
      </c>
      <c r="B48" s="24"/>
      <c r="C48" s="60">
        <f>-Model!G51</f>
        <v>-355</v>
      </c>
      <c r="D48" s="24"/>
      <c r="E48" s="24"/>
      <c r="F48" s="24"/>
      <c r="G48" s="57"/>
    </row>
    <row r="49" spans="1:7" x14ac:dyDescent="0.2">
      <c r="A49" s="55" t="s">
        <v>290</v>
      </c>
      <c r="B49" s="24"/>
      <c r="C49" s="60">
        <f>-Model!G52</f>
        <v>-202</v>
      </c>
      <c r="D49" s="24"/>
      <c r="E49" s="24"/>
      <c r="F49" s="24"/>
      <c r="G49" s="57"/>
    </row>
    <row r="50" spans="1:7" x14ac:dyDescent="0.2">
      <c r="A50" s="55" t="s">
        <v>291</v>
      </c>
      <c r="B50" s="24"/>
      <c r="C50" s="60">
        <f>-Model!G53</f>
        <v>-2055</v>
      </c>
      <c r="D50" s="24"/>
      <c r="E50" s="24"/>
      <c r="F50" s="24"/>
      <c r="G50" s="57"/>
    </row>
    <row r="51" spans="1:7" x14ac:dyDescent="0.2">
      <c r="A51" s="55" t="s">
        <v>292</v>
      </c>
      <c r="B51" s="24"/>
      <c r="C51" s="60">
        <f>-Model!G57</f>
        <v>-284</v>
      </c>
      <c r="D51" s="24"/>
      <c r="E51" s="24"/>
      <c r="F51" s="24"/>
      <c r="G51" s="57"/>
    </row>
    <row r="52" spans="1:7" x14ac:dyDescent="0.2">
      <c r="A52" s="188" t="s">
        <v>293</v>
      </c>
      <c r="B52" s="164"/>
      <c r="C52" s="189">
        <f>C44+SUM(C46:C51)</f>
        <v>41627.13708643998</v>
      </c>
      <c r="D52" s="38"/>
      <c r="E52" s="38"/>
      <c r="F52" s="38"/>
      <c r="G52" s="88"/>
    </row>
    <row r="53" spans="1:7" x14ac:dyDescent="0.2">
      <c r="A53" s="55" t="s">
        <v>248</v>
      </c>
      <c r="B53" s="24"/>
      <c r="C53" s="85">
        <f>C10</f>
        <v>1300.963524</v>
      </c>
      <c r="D53" s="24"/>
      <c r="E53" s="24"/>
      <c r="F53" s="24"/>
      <c r="G53" s="57"/>
    </row>
    <row r="54" spans="1:7" x14ac:dyDescent="0.2">
      <c r="A54" s="188" t="s">
        <v>294</v>
      </c>
      <c r="B54" s="164"/>
      <c r="C54" s="190">
        <f>C52*10/C53</f>
        <v>319.97159273498573</v>
      </c>
      <c r="D54" s="24"/>
      <c r="E54" s="24"/>
      <c r="F54" s="24"/>
      <c r="G54" s="57"/>
    </row>
    <row r="55" spans="1:7" x14ac:dyDescent="0.2">
      <c r="A55" s="55" t="s">
        <v>262</v>
      </c>
      <c r="B55" s="24"/>
      <c r="C55" s="86">
        <f>C9</f>
        <v>775</v>
      </c>
      <c r="D55" s="24"/>
      <c r="E55" s="24"/>
      <c r="F55" s="24"/>
      <c r="G55" s="57"/>
    </row>
    <row r="56" spans="1:7" x14ac:dyDescent="0.2">
      <c r="A56" s="69" t="s">
        <v>295</v>
      </c>
      <c r="B56" s="28"/>
      <c r="C56" s="87">
        <f>C54/C55-1</f>
        <v>-0.58713342872905061</v>
      </c>
      <c r="D56" s="24"/>
      <c r="E56" s="24"/>
      <c r="F56" s="24"/>
      <c r="G56" s="57"/>
    </row>
    <row r="57" spans="1:7" x14ac:dyDescent="0.2">
      <c r="A57" s="55" t="s">
        <v>296</v>
      </c>
      <c r="B57" s="24"/>
      <c r="C57" s="82">
        <f>C44/C16</f>
        <v>15.220774931930663</v>
      </c>
      <c r="D57" s="24"/>
      <c r="E57" s="24"/>
      <c r="F57" s="24"/>
      <c r="G57" s="57"/>
    </row>
    <row r="58" spans="1:7" x14ac:dyDescent="0.2">
      <c r="A58" s="55" t="s">
        <v>297</v>
      </c>
      <c r="B58" s="24"/>
      <c r="C58" s="82">
        <f>C54/Model!H37</f>
        <v>20.92276048952391</v>
      </c>
      <c r="D58" s="24"/>
      <c r="E58" s="24"/>
      <c r="F58" s="24"/>
      <c r="G58" s="57"/>
    </row>
    <row r="59" spans="1:7" ht="17" thickBot="1" x14ac:dyDescent="0.25">
      <c r="A59" s="56" t="s">
        <v>298</v>
      </c>
      <c r="B59" s="52"/>
      <c r="C59" s="83">
        <f>(WACC!C21-SUM(C46:C51))/C16</f>
        <v>36.700962494736629</v>
      </c>
      <c r="D59" s="52"/>
      <c r="E59" s="52"/>
      <c r="F59" s="52"/>
      <c r="G59" s="58"/>
    </row>
    <row r="61" spans="1:7" x14ac:dyDescent="0.2">
      <c r="A61" s="159" t="s">
        <v>299</v>
      </c>
      <c r="B61" s="159"/>
      <c r="C61" s="159"/>
      <c r="D61" s="159"/>
      <c r="E61" s="159"/>
      <c r="F61" s="159"/>
      <c r="G61" s="159"/>
    </row>
    <row r="62" spans="1:7" x14ac:dyDescent="0.2">
      <c r="B62" s="173" t="s">
        <v>301</v>
      </c>
      <c r="C62" s="191">
        <f>$C$8+(-0.01)</f>
        <v>4.9999999999999996E-2</v>
      </c>
      <c r="D62" s="191">
        <f>$C$8+(-0.005)</f>
        <v>5.5E-2</v>
      </c>
      <c r="E62" s="191">
        <f>$C$8+(0)</f>
        <v>0.06</v>
      </c>
      <c r="F62" s="191">
        <f>$C$8+(0.005)</f>
        <v>6.5000000000000002E-2</v>
      </c>
      <c r="G62" s="191">
        <f>$C$8+(0.01)</f>
        <v>6.9999999999999993E-2</v>
      </c>
    </row>
    <row r="63" spans="1:7" x14ac:dyDescent="0.2">
      <c r="B63" s="191">
        <f>$C$7+(-0.01)</f>
        <v>0.10469907567592933</v>
      </c>
      <c r="C63" s="41" cm="1">
        <f t="array" ref="C63">(SUMPRODUCT($C$26:$G$26,$C$27:$G$27,1/(1+$B63)^$C$28:$G$28)+$G$26*(1+C$62)/($B63-C$62)/(1+$B63)^$C$36+SUM($C$46:$C$51))*10/$C$53</f>
        <v>329.31273309855453</v>
      </c>
      <c r="D63" s="39" cm="1">
        <f t="array" ref="D63">(SUMPRODUCT($C$26:$G$26,$C$27:$G$27,1/(1+$B63)^$C$28:$G$28)+$G$26*(1+D$62)/($B63-D$62)/(1+$B63)^$C$36+SUM($C$46:$C$51))*10/$C$53</f>
        <v>357.7142875389751</v>
      </c>
      <c r="E63" s="39" cm="1">
        <f t="array" ref="E63">(SUMPRODUCT($C$26:$G$26,$C$27:$G$27,1/(1+$B63)^$C$28:$G$28)+$G$26*(1+E$62)/($B63-E$62)/(1+$B63)^$C$36+SUM($C$46:$C$51))*10/$C$53</f>
        <v>392.46978867984507</v>
      </c>
      <c r="F63" s="39" cm="1">
        <f t="array" ref="F63">(SUMPRODUCT($C$26:$G$26,$C$27:$G$27,1/(1+$B63)^$C$28:$G$28)+$G$26*(1+F$62)/($B63-F$62)/(1+$B63)^$C$36+SUM($C$46:$C$51))*10/$C$53</f>
        <v>435.98002794726125</v>
      </c>
      <c r="G63" s="44" cm="1">
        <f t="array" ref="G63">(SUMPRODUCT($C$26:$G$26,$C$27:$G$27,1/(1+$B63)^$C$28:$G$28)+$G$26*(1+G$62)/($B63-G$62)/(1+$B63)^$C$36+SUM($C$46:$C$51))*10/$C$53</f>
        <v>492.02957508379114</v>
      </c>
    </row>
    <row r="64" spans="1:7" x14ac:dyDescent="0.2">
      <c r="B64" s="191">
        <f>$C$7+(-0.005)</f>
        <v>0.10969907567592932</v>
      </c>
      <c r="C64" s="42" cm="1">
        <f t="array" ref="C64">(SUMPRODUCT($C$26:$G$26,$C$27:$G$27,1/(1+$B64)^$C$28:$G$28)+$G$26*(1+C$62)/($B64-C$62)/(1+$B64)^$C$36+SUM($C$46:$C$51))*10/$C$53</f>
        <v>301.31674564620448</v>
      </c>
      <c r="D64" s="33" cm="1">
        <f t="array" ref="D64">(SUMPRODUCT($C$26:$G$26,$C$27:$G$27,1/(1+$B64)^$C$28:$G$28)+$G$26*(1+D$62)/($B64-D$62)/(1+$B64)^$C$36+SUM($C$46:$C$51))*10/$C$53</f>
        <v>324.59684170732589</v>
      </c>
      <c r="E64" s="33" cm="1">
        <f t="array" ref="E64">(SUMPRODUCT($C$26:$G$26,$C$27:$G$27,1/(1+$B64)^$C$28:$G$28)+$G$26*(1+E$62)/($B64-E$62)/(1+$B64)^$C$36+SUM($C$46:$C$51))*10/$C$53</f>
        <v>352.56114884169205</v>
      </c>
      <c r="F64" s="33" cm="1">
        <f t="array" ref="F64">(SUMPRODUCT($C$26:$G$26,$C$27:$G$27,1/(1+$B64)^$C$28:$G$28)+$G$26*(1+F$62)/($B64-F$62)/(1+$B64)^$C$36+SUM($C$46:$C$51))*10/$C$53</f>
        <v>386.78158246446901</v>
      </c>
      <c r="G64" s="45" cm="1">
        <f t="array" ref="G64">(SUMPRODUCT($C$26:$G$26,$C$27:$G$27,1/(1+$B64)^$C$28:$G$28)+$G$26*(1+G$62)/($B64-G$62)/(1+$B64)^$C$36+SUM($C$46:$C$51))*10/$C$53</f>
        <v>429.62197336336112</v>
      </c>
    </row>
    <row r="65" spans="1:7" x14ac:dyDescent="0.2">
      <c r="B65" s="191">
        <f>$C$7+(0)</f>
        <v>0.11469907567592932</v>
      </c>
      <c r="C65" s="42" cm="1">
        <f t="array" ref="C65">(SUMPRODUCT($C$26:$G$26,$C$27:$G$27,1/(1+$B65)^$C$28:$G$28)+$G$26*(1+C$62)/($B65-C$62)/(1+$B65)^$C$36+SUM($C$46:$C$51))*10/$C$53</f>
        <v>277.66806944332097</v>
      </c>
      <c r="D65" s="33" cm="1">
        <f t="array" ref="D65">(SUMPRODUCT($C$26:$G$26,$C$27:$G$27,1/(1+$B65)^$C$28:$G$28)+$G$26*(1+D$62)/($B65-D$62)/(1+$B65)^$C$36+SUM($C$46:$C$51))*10/$C$53</f>
        <v>297.04829933540793</v>
      </c>
      <c r="E65" s="192" cm="1">
        <f t="array" ref="E65">(SUMPRODUCT($C$26:$G$26,$C$27:$G$27,1/(1+$B65)^$C$28:$G$28)+$G$26*(1+E$62)/($B65-E$62)/(1+$B65)^$C$36+SUM($C$46:$C$51))*10/$C$53</f>
        <v>319.97159273498573</v>
      </c>
      <c r="F65" s="33" cm="1">
        <f t="array" ref="F65">(SUMPRODUCT($C$26:$G$26,$C$27:$G$27,1/(1+$B65)^$C$28:$G$28)+$G$26*(1+F$62)/($B65-F$62)/(1+$B65)^$C$36+SUM($C$46:$C$51))*10/$C$53</f>
        <v>347.50730459261541</v>
      </c>
      <c r="G65" s="45" cm="1">
        <f t="array" ref="G65">(SUMPRODUCT($C$26:$G$26,$C$27:$G$27,1/(1+$B65)^$C$28:$G$28)+$G$26*(1+G$62)/($B65-G$62)/(1+$B65)^$C$36+SUM($C$46:$C$51))*10/$C$53</f>
        <v>381.20325834367156</v>
      </c>
    </row>
    <row r="66" spans="1:7" x14ac:dyDescent="0.2">
      <c r="B66" s="191">
        <f>$C$7+(0.005)</f>
        <v>0.11969907567592933</v>
      </c>
      <c r="C66" s="42" cm="1">
        <f t="array" ref="C66">(SUMPRODUCT($C$26:$G$26,$C$27:$G$27,1/(1+$B66)^$C$28:$G$28)+$G$26*(1+C$62)/($B66-C$62)/(1+$B66)^$C$36+SUM($C$46:$C$51))*10/$C$53</f>
        <v>257.43041527939266</v>
      </c>
      <c r="D66" s="33" cm="1">
        <f t="array" ref="D66">(SUMPRODUCT($C$26:$G$26,$C$27:$G$27,1/(1+$B66)^$C$28:$G$28)+$G$26*(1+D$62)/($B66-D$62)/(1+$B66)^$C$36+SUM($C$46:$C$51))*10/$C$53</f>
        <v>273.77680234219713</v>
      </c>
      <c r="E66" s="33" cm="1">
        <f t="array" ref="E66">(SUMPRODUCT($C$26:$G$26,$C$27:$G$27,1/(1+$B66)^$C$28:$G$28)+$G$26*(1+E$62)/($B66-E$62)/(1+$B66)^$C$36+SUM($C$46:$C$51))*10/$C$53</f>
        <v>292.86132008420003</v>
      </c>
      <c r="F66" s="33" cm="1">
        <f t="array" ref="F66">(SUMPRODUCT($C$26:$G$26,$C$27:$G$27,1/(1+$B66)^$C$28:$G$28)+$G$26*(1+F$62)/($B66-F$62)/(1+$B66)^$C$36+SUM($C$46:$C$51))*10/$C$53</f>
        <v>315.43483969802082</v>
      </c>
      <c r="G66" s="45" cm="1">
        <f t="array" ref="G66">(SUMPRODUCT($C$26:$G$26,$C$27:$G$27,1/(1+$B66)^$C$28:$G$28)+$G$26*(1+G$62)/($B66-G$62)/(1+$B66)^$C$36+SUM($C$46:$C$51))*10/$C$53</f>
        <v>342.55039944172552</v>
      </c>
    </row>
    <row r="67" spans="1:7" x14ac:dyDescent="0.2">
      <c r="B67" s="191">
        <f>$C$7+(0.01)</f>
        <v>0.12469907567592932</v>
      </c>
      <c r="C67" s="43" cm="1">
        <f t="array" ref="C67">(SUMPRODUCT($C$26:$G$26,$C$27:$G$27,1/(1+$B67)^$C$28:$G$28)+$G$26*(1+C$62)/($B67-C$62)/(1+$B67)^$C$36+SUM($C$46:$C$51))*10/$C$53</f>
        <v>239.91820236175047</v>
      </c>
      <c r="D67" s="40" cm="1">
        <f t="array" ref="D67">(SUMPRODUCT($C$26:$G$26,$C$27:$G$27,1/(1+$B67)^$C$28:$G$28)+$G$26*(1+D$62)/($B67-D$62)/(1+$B67)^$C$36+SUM($C$46:$C$51))*10/$C$53</f>
        <v>253.86121577224023</v>
      </c>
      <c r="E67" s="40" cm="1">
        <f t="array" ref="E67">(SUMPRODUCT($C$26:$G$26,$C$27:$G$27,1/(1+$B67)^$C$28:$G$28)+$G$26*(1+E$62)/($B67-E$62)/(1+$B67)^$C$36+SUM($C$46:$C$51))*10/$C$53</f>
        <v>269.95928522716702</v>
      </c>
      <c r="F67" s="40" cm="1">
        <f t="array" ref="F67">(SUMPRODUCT($C$26:$G$26,$C$27:$G$27,1/(1+$B67)^$C$28:$G$28)+$G$26*(1+F$62)/($B67-F$62)/(1+$B67)^$C$36+SUM($C$46:$C$51))*10/$C$53</f>
        <v>288.75389047811069</v>
      </c>
      <c r="G67" s="46" cm="1">
        <f t="array" ref="G67">(SUMPRODUCT($C$26:$G$26,$C$27:$G$27,1/(1+$B67)^$C$28:$G$28)+$G$26*(1+G$62)/($B67-G$62)/(1+$B67)^$C$36+SUM($C$46:$C$51))*10/$C$53</f>
        <v>310.98449624984829</v>
      </c>
    </row>
    <row r="68" spans="1:7" x14ac:dyDescent="0.2">
      <c r="A68" s="201" t="s">
        <v>304</v>
      </c>
    </row>
    <row r="69" spans="1:7" x14ac:dyDescent="0.2">
      <c r="A69" s="159" t="s">
        <v>300</v>
      </c>
      <c r="B69" s="159"/>
      <c r="C69" s="159"/>
      <c r="D69" s="159"/>
      <c r="E69" s="159"/>
      <c r="F69" s="159"/>
      <c r="G69" s="159"/>
    </row>
    <row r="70" spans="1:7" x14ac:dyDescent="0.2">
      <c r="B70" s="173" t="s">
        <v>302</v>
      </c>
      <c r="C70" s="193">
        <v>-0.02</v>
      </c>
      <c r="D70" s="193">
        <v>-0.01</v>
      </c>
      <c r="E70" s="193">
        <v>0</v>
      </c>
      <c r="F70" s="193">
        <v>0.01</v>
      </c>
      <c r="G70" s="193">
        <v>0.02</v>
      </c>
    </row>
    <row r="71" spans="1:7" x14ac:dyDescent="0.2">
      <c r="B71" s="191">
        <f>$C$7+(-0.01)</f>
        <v>0.10469907567592933</v>
      </c>
      <c r="C71" s="41" cm="1">
        <f t="array" ref="C71">(SUMPRODUCT($C$26:$G$26+C$70*$C$15:$G$15*(1-$C$20:$G$20),$C$27:$G$27,1/(1+$B71)^$C$28:$G$28)+($G$26+C$70*$G$15*(1-$G$20))*(1+$C$8)/($B71-$C$8)/(1+$B71)^$C$36+SUM($C$46:$C$51))*10/$C$53</f>
        <v>343.8291372222368</v>
      </c>
      <c r="D71" s="39" cm="1">
        <f t="array" ref="D71">(SUMPRODUCT($C$26:$G$26+D$70*$C$15:$G$15*(1-$C$20:$G$20),$C$27:$G$27,1/(1+$B71)^$C$28:$G$28)+($G$26+D$70*$G$15*(1-$G$20))*(1+$C$8)/($B71-$C$8)/(1+$B71)^$C$36+SUM($C$46:$C$51))*10/$C$53</f>
        <v>368.1494629510409</v>
      </c>
      <c r="E71" s="39" cm="1">
        <f t="array" ref="E71">(SUMPRODUCT($C$26:$G$26+E$70*$C$15:$G$15*(1-$C$20:$G$20),$C$27:$G$27,1/(1+$B71)^$C$28:$G$28)+($G$26+E$70*$G$15*(1-$G$20))*(1+$C$8)/($B71-$C$8)/(1+$B71)^$C$36+SUM($C$46:$C$51))*10/$C$53</f>
        <v>392.46978867984507</v>
      </c>
      <c r="F71" s="39" cm="1">
        <f t="array" ref="F71">(SUMPRODUCT($C$26:$G$26+F$70*$C$15:$G$15*(1-$C$20:$G$20),$C$27:$G$27,1/(1+$B71)^$C$28:$G$28)+($G$26+F$70*$G$15*(1-$G$20))*(1+$C$8)/($B71-$C$8)/(1+$B71)^$C$36+SUM($C$46:$C$51))*10/$C$53</f>
        <v>416.79011440864923</v>
      </c>
      <c r="G71" s="44" cm="1">
        <f t="array" ref="G71">(SUMPRODUCT($C$26:$G$26+G$70*$C$15:$G$15*(1-$C$20:$G$20),$C$27:$G$27,1/(1+$B71)^$C$28:$G$28)+($G$26+G$70*$G$15*(1-$G$20))*(1+$C$8)/($B71-$C$8)/(1+$B71)^$C$36+SUM($C$46:$C$51))*10/$C$53</f>
        <v>441.11044013745328</v>
      </c>
    </row>
    <row r="72" spans="1:7" x14ac:dyDescent="0.2">
      <c r="B72" s="191">
        <f>$C$7+(-0.005)</f>
        <v>0.10969907567592932</v>
      </c>
      <c r="C72" s="42" cm="1">
        <f t="array" ref="C72">(SUMPRODUCT($C$26:$G$26+C$70*$C$15:$G$15*(1-$C$20:$G$20),$C$27:$G$27,1/(1+$B72)^$C$28:$G$28)+($G$26+C$70*$G$15*(1-$G$20))*(1+$C$8)/($B72-$C$8)/(1+$B72)^$C$36+SUM($C$46:$C$51))*10/$C$53</f>
        <v>308.81130033767664</v>
      </c>
      <c r="D72" s="33" cm="1">
        <f t="array" ref="D72">(SUMPRODUCT($C$26:$G$26+D$70*$C$15:$G$15*(1-$C$20:$G$20),$C$27:$G$27,1/(1+$B72)^$C$28:$G$28)+($G$26+D$70*$G$15*(1-$G$20))*(1+$C$8)/($B72-$C$8)/(1+$B72)^$C$36+SUM($C$46:$C$51))*10/$C$53</f>
        <v>330.68622458968429</v>
      </c>
      <c r="E72" s="33" cm="1">
        <f t="array" ref="E72">(SUMPRODUCT($C$26:$G$26+E$70*$C$15:$G$15*(1-$C$20:$G$20),$C$27:$G$27,1/(1+$B72)^$C$28:$G$28)+($G$26+E$70*$G$15*(1-$G$20))*(1+$C$8)/($B72-$C$8)/(1+$B72)^$C$36+SUM($C$46:$C$51))*10/$C$53</f>
        <v>352.56114884169205</v>
      </c>
      <c r="F72" s="33" cm="1">
        <f t="array" ref="F72">(SUMPRODUCT($C$26:$G$26+F$70*$C$15:$G$15*(1-$C$20:$G$20),$C$27:$G$27,1/(1+$B72)^$C$28:$G$28)+($G$26+F$70*$G$15*(1-$G$20))*(1+$C$8)/($B72-$C$8)/(1+$B72)^$C$36+SUM($C$46:$C$51))*10/$C$53</f>
        <v>374.4360730936998</v>
      </c>
      <c r="G72" s="45" cm="1">
        <f t="array" ref="G72">(SUMPRODUCT($C$26:$G$26+G$70*$C$15:$G$15*(1-$C$20:$G$20),$C$27:$G$27,1/(1+$B72)^$C$28:$G$28)+($G$26+G$70*$G$15*(1-$G$20))*(1+$C$8)/($B72-$C$8)/(1+$B72)^$C$36+SUM($C$46:$C$51))*10/$C$53</f>
        <v>396.31099734570756</v>
      </c>
    </row>
    <row r="73" spans="1:7" x14ac:dyDescent="0.2">
      <c r="B73" s="191">
        <f>$C$7+(0)</f>
        <v>0.11469907567592932</v>
      </c>
      <c r="C73" s="42" cm="1">
        <f t="array" ref="C73">(SUMPRODUCT($C$26:$G$26+C$70*$C$15:$G$15*(1-$C$20:$G$20),$C$27:$G$27,1/(1+$B73)^$C$28:$G$28)+($G$26+C$70*$G$15*(1-$G$20))*(1+$C$8)/($B73-$C$8)/(1+$B73)^$C$36+SUM($C$46:$C$51))*10/$C$53</f>
        <v>280.2157015660037</v>
      </c>
      <c r="D73" s="33" cm="1">
        <f t="array" ref="D73">(SUMPRODUCT($C$26:$G$26+D$70*$C$15:$G$15*(1-$C$20:$G$20),$C$27:$G$27,1/(1+$B73)^$C$28:$G$28)+($G$26+D$70*$G$15*(1-$G$20))*(1+$C$8)/($B73-$C$8)/(1+$B73)^$C$36+SUM($C$46:$C$51))*10/$C$53</f>
        <v>300.09364715049469</v>
      </c>
      <c r="E73" s="192" cm="1">
        <f t="array" ref="E73">(SUMPRODUCT($C$26:$G$26+E$70*$C$15:$G$15*(1-$C$20:$G$20),$C$27:$G$27,1/(1+$B73)^$C$28:$G$28)+($G$26+E$70*$G$15*(1-$G$20))*(1+$C$8)/($B73-$C$8)/(1+$B73)^$C$36+SUM($C$46:$C$51))*10/$C$53</f>
        <v>319.97159273498573</v>
      </c>
      <c r="F73" s="33" cm="1">
        <f t="array" ref="F73">(SUMPRODUCT($C$26:$G$26+F$70*$C$15:$G$15*(1-$C$20:$G$20),$C$27:$G$27,1/(1+$B73)^$C$28:$G$28)+($G$26+F$70*$G$15*(1-$G$20))*(1+$C$8)/($B73-$C$8)/(1+$B73)^$C$36+SUM($C$46:$C$51))*10/$C$53</f>
        <v>339.84953831947661</v>
      </c>
      <c r="G73" s="45" cm="1">
        <f t="array" ref="G73">(SUMPRODUCT($C$26:$G$26+G$70*$C$15:$G$15*(1-$C$20:$G$20),$C$27:$G$27,1/(1+$B73)^$C$28:$G$28)+($G$26+G$70*$G$15*(1-$G$20))*(1+$C$8)/($B73-$C$8)/(1+$B73)^$C$36+SUM($C$46:$C$51))*10/$C$53</f>
        <v>359.7274839039676</v>
      </c>
    </row>
    <row r="74" spans="1:7" x14ac:dyDescent="0.2">
      <c r="B74" s="191">
        <f>$C$7+(0.005)</f>
        <v>0.11969907567592933</v>
      </c>
      <c r="C74" s="42" cm="1">
        <f t="array" ref="C74">(SUMPRODUCT($C$26:$G$26+C$70*$C$15:$G$15*(1-$C$20:$G$20),$C$27:$G$27,1/(1+$B74)^$C$28:$G$28)+($G$26+C$70*$G$15*(1-$G$20))*(1+$C$8)/($B74-$C$8)/(1+$B74)^$C$36+SUM($C$46:$C$51))*10/$C$53</f>
        <v>256.42797956174559</v>
      </c>
      <c r="D74" s="33" cm="1">
        <f t="array" ref="D74">(SUMPRODUCT($C$26:$G$26+D$70*$C$15:$G$15*(1-$C$20:$G$20),$C$27:$G$27,1/(1+$B74)^$C$28:$G$28)+($G$26+D$70*$G$15*(1-$G$20))*(1+$C$8)/($B74-$C$8)/(1+$B74)^$C$36+SUM($C$46:$C$51))*10/$C$53</f>
        <v>274.64464982297284</v>
      </c>
      <c r="E74" s="33" cm="1">
        <f t="array" ref="E74">(SUMPRODUCT($C$26:$G$26+E$70*$C$15:$G$15*(1-$C$20:$G$20),$C$27:$G$27,1/(1+$B74)^$C$28:$G$28)+($G$26+E$70*$G$15*(1-$G$20))*(1+$C$8)/($B74-$C$8)/(1+$B74)^$C$36+SUM($C$46:$C$51))*10/$C$53</f>
        <v>292.86132008420003</v>
      </c>
      <c r="F74" s="33" cm="1">
        <f t="array" ref="F74">(SUMPRODUCT($C$26:$G$26+F$70*$C$15:$G$15*(1-$C$20:$G$20),$C$27:$G$27,1/(1+$B74)^$C$28:$G$28)+($G$26+F$70*$G$15*(1-$G$20))*(1+$C$8)/($B74-$C$8)/(1+$B74)^$C$36+SUM($C$46:$C$51))*10/$C$53</f>
        <v>311.07799034542722</v>
      </c>
      <c r="G74" s="45" cm="1">
        <f t="array" ref="G74">(SUMPRODUCT($C$26:$G$26+G$70*$C$15:$G$15*(1-$C$20:$G$20),$C$27:$G$27,1/(1+$B74)^$C$28:$G$28)+($G$26+G$70*$G$15*(1-$G$20))*(1+$C$8)/($B74-$C$8)/(1+$B74)^$C$36+SUM($C$46:$C$51))*10/$C$53</f>
        <v>329.29466060665447</v>
      </c>
    </row>
    <row r="75" spans="1:7" x14ac:dyDescent="0.2">
      <c r="B75" s="191">
        <f>$C$7+(0.01)</f>
        <v>0.12469907567592932</v>
      </c>
      <c r="C75" s="43" cm="1">
        <f t="array" ref="C75">(SUMPRODUCT($C$26:$G$26+C$70*$C$15:$G$15*(1-$C$20:$G$20),$C$27:$G$27,1/(1+$B75)^$C$28:$G$28)+($G$26+C$70*$G$15*(1-$G$20))*(1+$C$8)/($B75-$C$8)/(1+$B75)^$C$36+SUM($C$46:$C$51))*10/$C$53</f>
        <v>236.33283558157075</v>
      </c>
      <c r="D75" s="40" cm="1">
        <f t="array" ref="D75">(SUMPRODUCT($C$26:$G$26+D$70*$C$15:$G$15*(1-$C$20:$G$20),$C$27:$G$27,1/(1+$B75)^$C$28:$G$28)+($G$26+D$70*$G$15*(1-$G$20))*(1+$C$8)/($B75-$C$8)/(1+$B75)^$C$36+SUM($C$46:$C$51))*10/$C$53</f>
        <v>253.14606040436888</v>
      </c>
      <c r="E75" s="40" cm="1">
        <f t="array" ref="E75">(SUMPRODUCT($C$26:$G$26+E$70*$C$15:$G$15*(1-$C$20:$G$20),$C$27:$G$27,1/(1+$B75)^$C$28:$G$28)+($G$26+E$70*$G$15*(1-$G$20))*(1+$C$8)/($B75-$C$8)/(1+$B75)^$C$36+SUM($C$46:$C$51))*10/$C$53</f>
        <v>269.95928522716702</v>
      </c>
      <c r="F75" s="40" cm="1">
        <f t="array" ref="F75">(SUMPRODUCT($C$26:$G$26+F$70*$C$15:$G$15*(1-$C$20:$G$20),$C$27:$G$27,1/(1+$B75)^$C$28:$G$28)+($G$26+F$70*$G$15*(1-$G$20))*(1+$C$8)/($B75-$C$8)/(1+$B75)^$C$36+SUM($C$46:$C$51))*10/$C$53</f>
        <v>286.77251004996509</v>
      </c>
      <c r="G75" s="46" cm="1">
        <f t="array" ref="G75">(SUMPRODUCT($C$26:$G$26+G$70*$C$15:$G$15*(1-$C$20:$G$20),$C$27:$G$27,1/(1+$B75)^$C$28:$G$28)+($G$26+G$70*$G$15*(1-$G$20))*(1+$C$8)/($B75-$C$8)/(1+$B75)^$C$36+SUM($C$46:$C$51))*10/$C$53</f>
        <v>303.58573487276323</v>
      </c>
    </row>
    <row r="76" spans="1:7" x14ac:dyDescent="0.2">
      <c r="A76" s="201" t="s">
        <v>305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68C50-45B2-BB48-A0D7-2DFCF3329C8F}">
  <sheetPr>
    <tabColor rgb="FF616363"/>
  </sheetPr>
  <dimension ref="A1:Z28"/>
  <sheetViews>
    <sheetView showGridLines="0" workbookViewId="0"/>
  </sheetViews>
  <sheetFormatPr baseColWidth="10" defaultRowHeight="16" x14ac:dyDescent="0.2"/>
  <cols>
    <col min="1" max="1" width="60" style="1" customWidth="1"/>
    <col min="2" max="2" width="2" style="1" customWidth="1"/>
    <col min="3" max="12" width="9.33203125" style="1" customWidth="1"/>
    <col min="13" max="13" width="18.33203125" style="1" customWidth="1"/>
    <col min="14" max="26" width="10.83203125" style="1"/>
  </cols>
  <sheetData>
    <row r="1" spans="1:13" ht="24" customHeight="1" thickBot="1" x14ac:dyDescent="0.25">
      <c r="A1" s="200" t="s">
        <v>306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</row>
    <row r="2" spans="1:13" x14ac:dyDescent="0.2">
      <c r="A2" s="156" t="s">
        <v>307</v>
      </c>
    </row>
    <row r="4" spans="1:13" x14ac:dyDescent="0.2">
      <c r="A4" s="173" t="s">
        <v>308</v>
      </c>
      <c r="B4" s="173"/>
      <c r="C4" s="174" t="s">
        <v>115</v>
      </c>
      <c r="D4" s="174" t="s">
        <v>116</v>
      </c>
      <c r="E4" s="174" t="s">
        <v>117</v>
      </c>
      <c r="F4" s="174" t="s">
        <v>118</v>
      </c>
      <c r="G4" s="174" t="s">
        <v>119</v>
      </c>
      <c r="H4" s="174" t="s">
        <v>131</v>
      </c>
      <c r="I4" s="174" t="s">
        <v>132</v>
      </c>
      <c r="J4" s="174" t="s">
        <v>133</v>
      </c>
      <c r="K4" s="174" t="s">
        <v>134</v>
      </c>
      <c r="L4" s="174" t="s">
        <v>135</v>
      </c>
      <c r="M4" s="174" t="s">
        <v>309</v>
      </c>
    </row>
    <row r="5" spans="1:13" x14ac:dyDescent="0.2">
      <c r="A5" s="159" t="s">
        <v>331</v>
      </c>
      <c r="B5" s="159"/>
      <c r="C5" s="159"/>
      <c r="D5" s="159"/>
      <c r="E5" s="159"/>
      <c r="F5" s="159"/>
      <c r="G5" s="159"/>
      <c r="H5" s="159"/>
      <c r="I5" s="159"/>
      <c r="J5" s="159"/>
      <c r="K5" s="159"/>
      <c r="L5" s="159"/>
      <c r="M5" s="159"/>
    </row>
    <row r="6" spans="1:13" x14ac:dyDescent="0.2">
      <c r="A6" s="1" t="s">
        <v>310</v>
      </c>
      <c r="C6" s="142"/>
      <c r="D6" s="142">
        <f>Historicals!D78</f>
        <v>0</v>
      </c>
      <c r="E6" s="142">
        <f>Historicals!E78</f>
        <v>0</v>
      </c>
      <c r="F6" s="142">
        <f>Historicals!F78</f>
        <v>0</v>
      </c>
      <c r="G6" s="142">
        <f>Historicals!G78</f>
        <v>0</v>
      </c>
      <c r="H6" s="142"/>
      <c r="I6" s="142"/>
      <c r="J6" s="142"/>
      <c r="K6" s="142"/>
      <c r="L6" s="142"/>
      <c r="M6" s="144" t="str" cm="1">
        <f t="array" ref="M6">IF(SUMPRODUCT(ABS(N(+C6:L6)))&lt;0.5,"OK","ERROR")</f>
        <v>OK</v>
      </c>
    </row>
    <row r="7" spans="1:13" x14ac:dyDescent="0.2">
      <c r="A7" s="1" t="s">
        <v>311</v>
      </c>
      <c r="C7" s="142"/>
      <c r="D7" s="142">
        <f>Historicals!D52-Historicals!D81</f>
        <v>0</v>
      </c>
      <c r="E7" s="142">
        <f>Historicals!E52-Historicals!E81</f>
        <v>0</v>
      </c>
      <c r="F7" s="142">
        <f>Historicals!F52-Historicals!F81</f>
        <v>0</v>
      </c>
      <c r="G7" s="142">
        <f>Historicals!G52-Historicals!G81</f>
        <v>0</v>
      </c>
      <c r="H7" s="142"/>
      <c r="I7" s="142"/>
      <c r="J7" s="142"/>
      <c r="K7" s="142"/>
      <c r="L7" s="142"/>
      <c r="M7" s="144" t="str" cm="1">
        <f t="array" ref="M7">IF(SUMPRODUCT(ABS(N(+C7:L7)))&lt;0.5,"OK","ERROR")</f>
        <v>OK</v>
      </c>
    </row>
    <row r="8" spans="1:13" x14ac:dyDescent="0.2">
      <c r="A8" s="1" t="s">
        <v>312</v>
      </c>
      <c r="C8" s="142"/>
      <c r="D8" s="142">
        <f>Historicals!D117</f>
        <v>0</v>
      </c>
      <c r="E8" s="142">
        <f>Historicals!E117</f>
        <v>0</v>
      </c>
      <c r="F8" s="142">
        <f>Historicals!F117</f>
        <v>0</v>
      </c>
      <c r="G8" s="142">
        <f>Historicals!G117</f>
        <v>0</v>
      </c>
      <c r="H8" s="142"/>
      <c r="I8" s="142"/>
      <c r="J8" s="142"/>
      <c r="K8" s="142"/>
      <c r="L8" s="142"/>
      <c r="M8" s="144" t="str" cm="1">
        <f t="array" ref="M8">IF(SUMPRODUCT(ABS(N(+C8:L8)))&lt;0.5,"OK","ERROR")</f>
        <v>OK</v>
      </c>
    </row>
    <row r="9" spans="1:13" x14ac:dyDescent="0.2">
      <c r="A9" s="1" t="s">
        <v>313</v>
      </c>
      <c r="C9" s="142"/>
      <c r="D9" s="142">
        <f>Historicals!D18-Historicals!D83</f>
        <v>0</v>
      </c>
      <c r="E9" s="142">
        <f>Historicals!E18-Historicals!E83</f>
        <v>0</v>
      </c>
      <c r="F9" s="142">
        <f>Historicals!F18-Historicals!F83</f>
        <v>0</v>
      </c>
      <c r="G9" s="142">
        <f>Historicals!G18-Historicals!G83</f>
        <v>0</v>
      </c>
      <c r="H9" s="142"/>
      <c r="I9" s="142"/>
      <c r="J9" s="142"/>
      <c r="K9" s="142"/>
      <c r="L9" s="142"/>
      <c r="M9" s="144" t="str" cm="1">
        <f t="array" ref="M9">IF(SUMPRODUCT(ABS(N(+C9:L9)))&lt;0.5,"OK","ERROR")</f>
        <v>OK</v>
      </c>
    </row>
    <row r="10" spans="1:13" x14ac:dyDescent="0.2">
      <c r="A10" s="1" t="s">
        <v>314</v>
      </c>
      <c r="C10" s="142"/>
      <c r="D10" s="142"/>
      <c r="E10" s="142"/>
      <c r="F10" s="142">
        <f>Historicals!F124</f>
        <v>0</v>
      </c>
      <c r="G10" s="142">
        <f>Historicals!G124</f>
        <v>0</v>
      </c>
      <c r="H10" s="142"/>
      <c r="I10" s="142"/>
      <c r="J10" s="142"/>
      <c r="K10" s="142"/>
      <c r="L10" s="142"/>
      <c r="M10" s="144" t="str" cm="1">
        <f t="array" ref="M10">IF(SUMPRODUCT(ABS(N(+C10:L10)))&lt;0.5,"OK","ERROR")</f>
        <v>OK</v>
      </c>
    </row>
    <row r="11" spans="1:13" x14ac:dyDescent="0.2">
      <c r="A11" s="1" t="s">
        <v>315</v>
      </c>
      <c r="C11" s="142"/>
      <c r="D11" s="142">
        <f>Model!D60</f>
        <v>0</v>
      </c>
      <c r="E11" s="142">
        <f>Model!E60</f>
        <v>0</v>
      </c>
      <c r="F11" s="142">
        <f>Model!F60</f>
        <v>0</v>
      </c>
      <c r="G11" s="142">
        <f>Model!G60</f>
        <v>0</v>
      </c>
      <c r="H11" s="142">
        <f>Model!H60</f>
        <v>0</v>
      </c>
      <c r="I11" s="142">
        <f>Model!I60</f>
        <v>0</v>
      </c>
      <c r="J11" s="142">
        <f>Model!J60</f>
        <v>0</v>
      </c>
      <c r="K11" s="142">
        <f>Model!K60</f>
        <v>0</v>
      </c>
      <c r="L11" s="142">
        <f>Model!L60</f>
        <v>0</v>
      </c>
      <c r="M11" s="144" t="str" cm="1">
        <f t="array" ref="M11">IF(SUMPRODUCT(ABS(N(+C11:L11)))&lt;0.5,"OK","ERROR")</f>
        <v>OK</v>
      </c>
    </row>
    <row r="12" spans="1:13" x14ac:dyDescent="0.2">
      <c r="A12" s="1" t="s">
        <v>316</v>
      </c>
      <c r="C12" s="142"/>
      <c r="D12" s="142">
        <f>Model!D83</f>
        <v>0</v>
      </c>
      <c r="E12" s="142">
        <f>Model!E83</f>
        <v>0</v>
      </c>
      <c r="F12" s="142">
        <f>Model!F83</f>
        <v>0</v>
      </c>
      <c r="G12" s="142">
        <f>Model!G83</f>
        <v>0</v>
      </c>
      <c r="H12" s="142">
        <f>Model!H83</f>
        <v>0</v>
      </c>
      <c r="I12" s="142">
        <f>Model!I83</f>
        <v>0</v>
      </c>
      <c r="J12" s="142">
        <f>Model!J83</f>
        <v>0</v>
      </c>
      <c r="K12" s="142">
        <f>Model!K83</f>
        <v>0</v>
      </c>
      <c r="L12" s="142">
        <f>Model!L83</f>
        <v>0</v>
      </c>
      <c r="M12" s="144" t="str" cm="1">
        <f t="array" ref="M12">IF(SUMPRODUCT(ABS(N(+C12:L12)))&lt;0.5,"OK","ERROR")</f>
        <v>OK</v>
      </c>
    </row>
    <row r="13" spans="1:13" x14ac:dyDescent="0.2">
      <c r="A13" s="1" t="s">
        <v>317</v>
      </c>
      <c r="C13" s="142"/>
      <c r="D13" s="142"/>
      <c r="E13" s="142"/>
      <c r="F13" s="142"/>
      <c r="G13" s="142"/>
      <c r="H13" s="142">
        <f>Model!H63-Model!H33</f>
        <v>0</v>
      </c>
      <c r="I13" s="142">
        <f>Model!I63-Model!I33</f>
        <v>0</v>
      </c>
      <c r="J13" s="142">
        <f>Model!J63-Model!J33</f>
        <v>0</v>
      </c>
      <c r="K13" s="142">
        <f>Model!K63-Model!K33</f>
        <v>0</v>
      </c>
      <c r="L13" s="142">
        <f>Model!L63-Model!L33</f>
        <v>0</v>
      </c>
      <c r="M13" s="144" t="str" cm="1">
        <f t="array" ref="M13">IF(SUMPRODUCT(ABS(N(+C13:L13)))&lt;0.5,"OK","ERROR")</f>
        <v>OK</v>
      </c>
    </row>
    <row r="14" spans="1:13" x14ac:dyDescent="0.2">
      <c r="A14" s="1" t="s">
        <v>318</v>
      </c>
      <c r="C14" s="142"/>
      <c r="D14" s="142"/>
      <c r="E14" s="142"/>
      <c r="F14" s="142"/>
      <c r="G14" s="142"/>
      <c r="H14" s="142">
        <f>Model!G56+Model!H35+Model!H75-Model!H56</f>
        <v>0</v>
      </c>
      <c r="I14" s="142">
        <f>Model!H56+Model!I35+Model!I75-Model!I56</f>
        <v>0</v>
      </c>
      <c r="J14" s="142">
        <f>Model!I56+Model!J35+Model!J75-Model!J56</f>
        <v>0</v>
      </c>
      <c r="K14" s="142">
        <f>Model!J56+Model!K35+Model!K75-Model!K56</f>
        <v>0</v>
      </c>
      <c r="L14" s="142">
        <f>Model!K56+Model!L35+Model!L75-Model!L56</f>
        <v>0</v>
      </c>
      <c r="M14" s="144" t="str" cm="1">
        <f t="array" ref="M14">IF(SUMPRODUCT(ABS(N(+C14:L14)))&lt;0.5,"OK","ERROR")</f>
        <v>OK</v>
      </c>
    </row>
    <row r="15" spans="1:13" x14ac:dyDescent="0.2">
      <c r="A15" s="1" t="s">
        <v>319</v>
      </c>
      <c r="C15" s="142"/>
      <c r="D15" s="142">
        <f>Model!D30-Historicals!D18</f>
        <v>0</v>
      </c>
      <c r="E15" s="142">
        <f>Model!E30-Historicals!E18</f>
        <v>0</v>
      </c>
      <c r="F15" s="142">
        <f>Model!F30-Historicals!F18</f>
        <v>0</v>
      </c>
      <c r="G15" s="142">
        <f>Model!G30-Historicals!G18</f>
        <v>0</v>
      </c>
      <c r="H15" s="142"/>
      <c r="I15" s="142"/>
      <c r="J15" s="142"/>
      <c r="K15" s="142"/>
      <c r="L15" s="142"/>
      <c r="M15" s="144" t="str" cm="1">
        <f t="array" ref="M15">IF(SUMPRODUCT(ABS(N(+C15:L15)))&lt;0.5,"OK","ERROR")</f>
        <v>OK</v>
      </c>
    </row>
    <row r="16" spans="1:13" x14ac:dyDescent="0.2">
      <c r="A16" s="1" t="s">
        <v>320</v>
      </c>
      <c r="C16" s="142">
        <f>Model!C23-Historicals!C25</f>
        <v>0</v>
      </c>
      <c r="D16" s="142">
        <f>Model!D23-Historicals!D25</f>
        <v>0</v>
      </c>
      <c r="E16" s="142">
        <f>Model!E23-Historicals!E25</f>
        <v>0</v>
      </c>
      <c r="F16" s="142">
        <f>Model!F23-Historicals!F25</f>
        <v>0</v>
      </c>
      <c r="G16" s="142">
        <f>Model!G23-Historicals!G25</f>
        <v>0</v>
      </c>
      <c r="H16" s="142"/>
      <c r="I16" s="142"/>
      <c r="J16" s="142"/>
      <c r="K16" s="142"/>
      <c r="L16" s="142"/>
      <c r="M16" s="144" t="str" cm="1">
        <f t="array" ref="M16">IF(SUMPRODUCT(ABS(N(+C16:L16)))&lt;0.5,"OK","ERROR")</f>
        <v>OK</v>
      </c>
    </row>
    <row r="17" spans="1:13" x14ac:dyDescent="0.2">
      <c r="A17" s="1" t="s">
        <v>321</v>
      </c>
      <c r="C17" s="142"/>
      <c r="D17" s="142"/>
      <c r="E17" s="142"/>
      <c r="F17" s="142"/>
      <c r="G17" s="142"/>
      <c r="H17" s="142">
        <f>Model!H16-Model!H8-Model!H10</f>
        <v>0</v>
      </c>
      <c r="I17" s="142">
        <f>Model!I16-Model!I8-Model!I10</f>
        <v>0</v>
      </c>
      <c r="J17" s="142">
        <f>Model!J16-Model!J8-Model!J10</f>
        <v>0</v>
      </c>
      <c r="K17" s="142">
        <f>Model!K16-Model!K8-Model!K10</f>
        <v>0</v>
      </c>
      <c r="L17" s="142">
        <f>Model!L16-Model!L8-Model!L10</f>
        <v>0</v>
      </c>
      <c r="M17" s="144" t="str" cm="1">
        <f t="array" ref="M17">IF(SUMPRODUCT(ABS(N(+C17:L17)))&lt;0.5,"OK","ERROR")</f>
        <v>OK</v>
      </c>
    </row>
    <row r="18" spans="1:13" x14ac:dyDescent="0.2">
      <c r="A18" s="1" t="s">
        <v>322</v>
      </c>
      <c r="C18" s="142">
        <f>ROUND(DCF!E65-DCF!C54,6)</f>
        <v>0</v>
      </c>
      <c r="D18" s="142"/>
      <c r="E18" s="142"/>
      <c r="F18" s="142"/>
      <c r="G18" s="142"/>
      <c r="H18" s="142"/>
      <c r="I18" s="142"/>
      <c r="J18" s="142"/>
      <c r="K18" s="142"/>
      <c r="L18" s="142"/>
      <c r="M18" s="144" t="str" cm="1">
        <f t="array" ref="M18">IF(SUMPRODUCT(ABS(N(+C18:L18)))&lt;0.5,"OK","ERROR")</f>
        <v>OK</v>
      </c>
    </row>
    <row r="19" spans="1:13" x14ac:dyDescent="0.2">
      <c r="A19" s="1" t="s">
        <v>323</v>
      </c>
      <c r="C19" s="142">
        <f>ROUND(DCF!E73-DCF!C54,6)</f>
        <v>0</v>
      </c>
      <c r="D19" s="142"/>
      <c r="E19" s="142"/>
      <c r="F19" s="142"/>
      <c r="G19" s="142"/>
      <c r="H19" s="142"/>
      <c r="I19" s="142"/>
      <c r="J19" s="142"/>
      <c r="K19" s="142"/>
      <c r="L19" s="142"/>
      <c r="M19" s="144" t="str" cm="1">
        <f t="array" ref="M19">IF(SUMPRODUCT(ABS(N(+C19:L19)))&lt;0.5,"OK","ERROR")</f>
        <v>OK</v>
      </c>
    </row>
    <row r="20" spans="1:13" x14ac:dyDescent="0.2">
      <c r="A20" s="1" t="s">
        <v>324</v>
      </c>
      <c r="C20" s="142">
        <f>IF(DCF!C8&lt;DCF!C7,0,1)</f>
        <v>0</v>
      </c>
      <c r="D20" s="142"/>
      <c r="E20" s="142"/>
      <c r="F20" s="142"/>
      <c r="G20" s="142"/>
      <c r="H20" s="142"/>
      <c r="I20" s="142"/>
      <c r="J20" s="142"/>
      <c r="K20" s="142"/>
      <c r="L20" s="142"/>
      <c r="M20" s="144" t="str" cm="1">
        <f t="array" ref="M20">IF(SUMPRODUCT(ABS(N(+C20:L20)))&lt;0.5,"OK","ERROR")</f>
        <v>OK</v>
      </c>
    </row>
    <row r="21" spans="1:13" x14ac:dyDescent="0.2">
      <c r="A21" s="1" t="s">
        <v>325</v>
      </c>
      <c r="C21" s="142">
        <f>IF(DCF!C8&lt;WACC!C5,0,1)</f>
        <v>0</v>
      </c>
      <c r="D21" s="142"/>
      <c r="E21" s="142"/>
      <c r="F21" s="142"/>
      <c r="G21" s="142"/>
      <c r="H21" s="142"/>
      <c r="I21" s="142"/>
      <c r="J21" s="142"/>
      <c r="K21" s="142"/>
      <c r="L21" s="142"/>
      <c r="M21" s="144" t="str" cm="1">
        <f t="array" ref="M21">IF(SUMPRODUCT(ABS(N(+C21:L21)))&lt;0.5,"OK","ERROR")</f>
        <v>OK</v>
      </c>
    </row>
    <row r="22" spans="1:13" x14ac:dyDescent="0.2">
      <c r="A22" s="1" t="s">
        <v>326</v>
      </c>
      <c r="C22" s="142">
        <f>WACC!C20-DCF!C53</f>
        <v>0</v>
      </c>
      <c r="D22" s="142"/>
      <c r="E22" s="142"/>
      <c r="F22" s="142"/>
      <c r="G22" s="142"/>
      <c r="H22" s="142"/>
      <c r="I22" s="142"/>
      <c r="J22" s="142"/>
      <c r="K22" s="142"/>
      <c r="L22" s="142"/>
      <c r="M22" s="144" t="str" cm="1">
        <f t="array" ref="M22">IF(SUMPRODUCT(ABS(N(+C22:L22)))&lt;0.5,"OK","ERROR")</f>
        <v>OK</v>
      </c>
    </row>
    <row r="23" spans="1:13" x14ac:dyDescent="0.2">
      <c r="M23" s="144"/>
    </row>
    <row r="24" spans="1:13" x14ac:dyDescent="0.2">
      <c r="A24" s="159" t="s">
        <v>327</v>
      </c>
      <c r="B24" s="159"/>
      <c r="C24" s="159"/>
      <c r="D24" s="159"/>
      <c r="E24" s="159"/>
      <c r="F24" s="159"/>
      <c r="G24" s="159"/>
      <c r="H24" s="159"/>
      <c r="I24" s="159"/>
      <c r="J24" s="159"/>
      <c r="K24" s="159"/>
      <c r="L24" s="159"/>
      <c r="M24" s="194"/>
    </row>
    <row r="25" spans="1:13" x14ac:dyDescent="0.2">
      <c r="A25" s="1" t="s">
        <v>328</v>
      </c>
      <c r="C25" s="20">
        <f>DCF!C45</f>
        <v>0.80720832955522792</v>
      </c>
      <c r="M25" s="144" t="str">
        <f>IF(C25&gt;0.75,"REVIEW","OK")</f>
        <v>REVIEW</v>
      </c>
    </row>
    <row r="26" spans="1:13" x14ac:dyDescent="0.2">
      <c r="A26" s="1" t="s">
        <v>329</v>
      </c>
      <c r="C26" s="143">
        <f>MIN(Model!H103:L103)</f>
        <v>1980.6804868878771</v>
      </c>
      <c r="M26" s="144" t="str">
        <f>IF(C26&lt;0,"REVIEW","OK")</f>
        <v>OK</v>
      </c>
    </row>
    <row r="27" spans="1:13" x14ac:dyDescent="0.2">
      <c r="M27" s="144"/>
    </row>
    <row r="28" spans="1:13" x14ac:dyDescent="0.2">
      <c r="A28" s="195" t="s">
        <v>330</v>
      </c>
      <c r="B28" s="195"/>
      <c r="C28" s="195"/>
      <c r="D28" s="195"/>
      <c r="E28" s="195"/>
      <c r="F28" s="195"/>
      <c r="G28" s="195"/>
      <c r="H28" s="195"/>
      <c r="I28" s="195"/>
      <c r="J28" s="195"/>
      <c r="K28" s="195"/>
      <c r="L28" s="195"/>
      <c r="M28" s="196" t="str">
        <f>IF(COUNTIF(M6:M22,"ERROR")=0,"ALL CHECKS PASS","ERRORS – REVIEW")</f>
        <v>ALL CHECKS PASS</v>
      </c>
    </row>
  </sheetData>
  <conditionalFormatting sqref="M6:M28">
    <cfRule type="containsText" dxfId="1" priority="1" operator="containsText" text="ERROR">
      <formula>NOT(ISERROR(SEARCH("ERROR",M6)))</formula>
    </cfRule>
  </conditionalFormatting>
  <conditionalFormatting sqref="M6:M28">
    <cfRule type="containsText" dxfId="0" priority="2" operator="containsText" text="REVIEW">
      <formula>NOT(ISERROR(SEARCH("REVIEW",M6)))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Cover</vt:lpstr>
      <vt:lpstr>Assumptions</vt:lpstr>
      <vt:lpstr>Historicals</vt:lpstr>
      <vt:lpstr>Model</vt:lpstr>
      <vt:lpstr>WACC</vt:lpstr>
      <vt:lpstr>DCF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Bishal Pegu</dc:creator>
  <cp:lastModifiedBy>Bishal Pegu</cp:lastModifiedBy>
  <dcterms:created xsi:type="dcterms:W3CDTF">2026-10-23T13:13:32Z</dcterms:created>
  <dcterms:modified xsi:type="dcterms:W3CDTF">2026-10-23T17:01:25Z</dcterms:modified>
</cp:coreProperties>
</file>